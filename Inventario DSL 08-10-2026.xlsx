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Alejandro\Documents\"/>
    </mc:Choice>
  </mc:AlternateContent>
  <xr:revisionPtr revIDLastSave="0" documentId="8_{4B6C3773-FD0E-4A4D-992F-3273F7DD4C21}" xr6:coauthVersionLast="47" xr6:coauthVersionMax="47" xr10:uidLastSave="{00000000-0000-0000-0000-000000000000}"/>
  <bookViews>
    <workbookView xWindow="204" yWindow="0" windowWidth="22836" windowHeight="12504" firstSheet="1" activeTab="4" xr2:uid="{328EC7F4-A606-4E76-8A4F-089AA054FB65}"/>
  </bookViews>
  <sheets>
    <sheet name="Precios costo 2025 Zuma" sheetId="5" r:id="rId1"/>
    <sheet name="Precio costo Vasa" sheetId="17" r:id="rId2"/>
    <sheet name="Deudas" sheetId="3" r:id="rId3"/>
    <sheet name="Venta por Cliente" sheetId="16" r:id="rId4"/>
    <sheet name="Venta x producto" sheetId="18" r:id="rId5"/>
    <sheet name="Inventario" sheetId="14" r:id="rId6"/>
    <sheet name="lista whatsapp" sheetId="11" r:id="rId7"/>
    <sheet name="Pedidos" sheetId="15" r:id="rId8"/>
    <sheet name="Informe de compatibilidad" sheetId="12" state="hidden" r:id="rId9"/>
    <sheet name="Informe de compatibilidad (1)" sheetId="13" state="hidden" r:id="rId10"/>
  </sheets>
  <definedNames>
    <definedName name="_xlnm.Print_Area" localSheetId="5">Inventario!$A$3:$B$278</definedName>
    <definedName name="_xlnm.Print_Area" localSheetId="6">'lista whatsapp'!$A$1:$F$302</definedName>
    <definedName name="_xlnm.Print_Area" localSheetId="0">'Precios costo 2025 Zuma'!$A$1:$J$257</definedName>
  </definedNames>
  <calcPr calcId="191029" iterateDelta="1E-4"/>
</workbook>
</file>

<file path=xl/calcChain.xml><?xml version="1.0" encoding="utf-8"?>
<calcChain xmlns="http://schemas.openxmlformats.org/spreadsheetml/2006/main">
  <c r="F105" i="18" l="1"/>
  <c r="F10" i="18"/>
  <c r="F104" i="18"/>
  <c r="F103" i="18"/>
  <c r="F102" i="18"/>
  <c r="F101" i="18"/>
  <c r="F100" i="18"/>
  <c r="F99" i="18"/>
  <c r="F98" i="18"/>
  <c r="F97" i="18"/>
  <c r="F96" i="18"/>
  <c r="F95" i="18"/>
  <c r="F94" i="18"/>
  <c r="F93" i="18"/>
  <c r="F92" i="18"/>
  <c r="F91" i="18"/>
  <c r="F90" i="18"/>
  <c r="F89" i="18"/>
  <c r="F88" i="18"/>
  <c r="F87" i="18"/>
  <c r="F86" i="18"/>
  <c r="F85" i="18"/>
  <c r="F84" i="18"/>
  <c r="F83" i="18"/>
  <c r="F82" i="18"/>
  <c r="F81" i="18"/>
  <c r="F80" i="18"/>
  <c r="F79" i="18"/>
  <c r="F78" i="18"/>
  <c r="F77" i="18"/>
  <c r="F76" i="18"/>
  <c r="F75" i="18"/>
  <c r="F74" i="18"/>
  <c r="F73" i="18"/>
  <c r="F72" i="18"/>
  <c r="F71" i="18"/>
  <c r="F70" i="18"/>
  <c r="F69" i="18"/>
  <c r="F68" i="18"/>
  <c r="F67" i="18"/>
  <c r="F66" i="18"/>
  <c r="F65" i="18"/>
  <c r="F64" i="18"/>
  <c r="F63" i="18"/>
  <c r="F62" i="18"/>
  <c r="F61" i="18"/>
  <c r="F60" i="18"/>
  <c r="F59" i="18"/>
  <c r="F58" i="18"/>
  <c r="F57" i="18"/>
  <c r="F56" i="18"/>
  <c r="F55" i="18"/>
  <c r="F54" i="18"/>
  <c r="F53" i="18"/>
  <c r="F52" i="18"/>
  <c r="F51" i="18"/>
  <c r="F50" i="18"/>
  <c r="F49" i="18"/>
  <c r="F48" i="18"/>
  <c r="F47" i="18"/>
  <c r="F46" i="18"/>
  <c r="F45" i="18"/>
  <c r="F44" i="18"/>
  <c r="F43" i="18"/>
  <c r="F42" i="18"/>
  <c r="F41" i="18"/>
  <c r="F40" i="18"/>
  <c r="F39" i="18"/>
  <c r="F38" i="18"/>
  <c r="F37" i="18"/>
  <c r="F36" i="18"/>
  <c r="F35" i="18"/>
  <c r="F34" i="18"/>
  <c r="F33" i="18"/>
  <c r="F32" i="18"/>
  <c r="F31" i="18"/>
  <c r="F30" i="18"/>
  <c r="F29" i="18"/>
  <c r="F28" i="18"/>
  <c r="F27" i="18"/>
  <c r="F26" i="18"/>
  <c r="F25" i="18"/>
  <c r="F24" i="18"/>
  <c r="F23" i="18"/>
  <c r="F22" i="18"/>
  <c r="F21" i="18"/>
  <c r="F20" i="18"/>
  <c r="F19" i="18"/>
  <c r="F18" i="18"/>
  <c r="F17" i="18"/>
  <c r="F16" i="18"/>
  <c r="F15" i="18"/>
  <c r="F14" i="18"/>
  <c r="F13" i="18"/>
  <c r="F12" i="18"/>
  <c r="F11" i="18"/>
  <c r="F9" i="18"/>
  <c r="F8" i="18"/>
  <c r="F7" i="18"/>
  <c r="F6" i="18"/>
  <c r="F5" i="18"/>
  <c r="F4" i="18"/>
  <c r="L21" i="3"/>
  <c r="J21" i="3"/>
  <c r="I21" i="3"/>
  <c r="I5" i="3"/>
  <c r="L5" i="3" s="1"/>
  <c r="I6" i="3"/>
  <c r="L6" i="3" s="1"/>
  <c r="I7" i="3"/>
  <c r="L7" i="3" s="1"/>
  <c r="I8" i="3"/>
  <c r="L8" i="3" s="1"/>
  <c r="I9" i="3"/>
  <c r="L9" i="3" s="1"/>
  <c r="I10" i="3"/>
  <c r="L10" i="3" s="1"/>
  <c r="I11" i="3"/>
  <c r="L11" i="3" s="1"/>
  <c r="I12" i="3"/>
  <c r="L12" i="3" s="1"/>
  <c r="I13" i="3"/>
  <c r="L13" i="3" s="1"/>
  <c r="I14" i="3"/>
  <c r="L14" i="3" s="1"/>
  <c r="I15" i="3"/>
  <c r="L15" i="3" s="1"/>
  <c r="I16" i="3"/>
  <c r="L16" i="3" s="1"/>
  <c r="I17" i="3"/>
  <c r="L17" i="3" s="1"/>
  <c r="I18" i="3"/>
  <c r="L18" i="3" s="1"/>
  <c r="I19" i="3"/>
  <c r="L19" i="3" s="1"/>
  <c r="I20" i="3"/>
  <c r="L20" i="3" s="1"/>
  <c r="I4" i="3"/>
  <c r="L4" i="3" s="1"/>
  <c r="J5" i="3"/>
  <c r="J6" i="3"/>
  <c r="J7" i="3"/>
  <c r="J8" i="3"/>
  <c r="J9" i="3"/>
  <c r="J10" i="3"/>
  <c r="J11" i="3"/>
  <c r="J12" i="3"/>
  <c r="J13" i="3"/>
  <c r="J14" i="3"/>
  <c r="J15" i="3"/>
  <c r="J16" i="3"/>
  <c r="J17" i="3"/>
  <c r="J18" i="3"/>
  <c r="J19" i="3"/>
  <c r="J20" i="3"/>
  <c r="J4" i="3"/>
  <c r="E280" i="14"/>
  <c r="E281" i="14"/>
  <c r="E279" i="14"/>
  <c r="D284"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5" i="14"/>
  <c r="E149" i="5"/>
  <c r="N156" i="5"/>
  <c r="N182" i="5"/>
  <c r="N194" i="5"/>
  <c r="N275" i="5"/>
  <c r="L285" i="5"/>
  <c r="H285" i="5"/>
  <c r="E285" i="5"/>
  <c r="M246" i="5"/>
  <c r="M184" i="5"/>
  <c r="L26" i="5"/>
  <c r="H26" i="5"/>
  <c r="E26" i="5"/>
  <c r="L24" i="5"/>
  <c r="H24" i="5"/>
  <c r="E24" i="5"/>
  <c r="L297" i="5"/>
  <c r="H297" i="5"/>
  <c r="E297" i="5"/>
  <c r="L296" i="5"/>
  <c r="H296" i="5"/>
  <c r="E296" i="5"/>
  <c r="L261" i="5"/>
  <c r="L262" i="5"/>
  <c r="L263" i="5"/>
  <c r="L264" i="5"/>
  <c r="H261" i="5"/>
  <c r="H262" i="5"/>
  <c r="H263" i="5"/>
  <c r="H264" i="5"/>
  <c r="E260" i="5"/>
  <c r="E261" i="5"/>
  <c r="E262" i="5"/>
  <c r="E263" i="5"/>
  <c r="E264" i="5"/>
  <c r="H260" i="5"/>
  <c r="L260" i="5"/>
  <c r="E259" i="5"/>
  <c r="H259" i="5"/>
  <c r="L259" i="5"/>
  <c r="L50" i="5"/>
  <c r="H50" i="5"/>
  <c r="E50" i="5"/>
  <c r="H273" i="5"/>
  <c r="L273" i="5"/>
  <c r="L269" i="5"/>
  <c r="L270" i="5"/>
  <c r="L271" i="5"/>
  <c r="L272" i="5"/>
  <c r="H269" i="5"/>
  <c r="H270" i="5"/>
  <c r="H271" i="5"/>
  <c r="H272" i="5"/>
  <c r="E269" i="5"/>
  <c r="E270" i="5"/>
  <c r="E271" i="5"/>
  <c r="E272" i="5"/>
  <c r="L98" i="5"/>
  <c r="H98" i="5"/>
  <c r="E98" i="5"/>
  <c r="L207" i="5"/>
  <c r="H207" i="5"/>
  <c r="E207" i="5"/>
  <c r="L203" i="5"/>
  <c r="L204" i="5"/>
  <c r="H203" i="5"/>
  <c r="H204" i="5"/>
  <c r="E203" i="5"/>
  <c r="E204" i="5"/>
  <c r="L201" i="5"/>
  <c r="L202" i="5"/>
  <c r="H201" i="5"/>
  <c r="H202" i="5"/>
  <c r="E201" i="5"/>
  <c r="E202" i="5"/>
  <c r="L199" i="5"/>
  <c r="L200" i="5"/>
  <c r="L205" i="5"/>
  <c r="L206" i="5"/>
  <c r="H199" i="5"/>
  <c r="H200" i="5"/>
  <c r="H205" i="5"/>
  <c r="H206" i="5"/>
  <c r="E199" i="5"/>
  <c r="E200" i="5"/>
  <c r="E205" i="5"/>
  <c r="E206" i="5"/>
  <c r="L212" i="5"/>
  <c r="H212" i="5"/>
  <c r="E212" i="5"/>
  <c r="K50" i="17"/>
  <c r="E5" i="17"/>
  <c r="E6" i="17"/>
  <c r="E7" i="17"/>
  <c r="E8" i="17"/>
  <c r="E9" i="17"/>
  <c r="G9" i="17" s="1"/>
  <c r="E10" i="17"/>
  <c r="G10" i="17"/>
  <c r="E11" i="17"/>
  <c r="E12" i="17"/>
  <c r="E13" i="17"/>
  <c r="E14" i="17"/>
  <c r="G14" i="17" s="1"/>
  <c r="E15" i="17"/>
  <c r="E16" i="17"/>
  <c r="G16" i="17" s="1"/>
  <c r="E17" i="17"/>
  <c r="E18" i="17"/>
  <c r="E19" i="17"/>
  <c r="E20" i="17"/>
  <c r="E21" i="17"/>
  <c r="E22" i="17"/>
  <c r="G22" i="17" s="1"/>
  <c r="E23" i="17"/>
  <c r="E24" i="17"/>
  <c r="G24" i="17" s="1"/>
  <c r="E25" i="17"/>
  <c r="E26" i="17"/>
  <c r="E27" i="17"/>
  <c r="E28" i="17"/>
  <c r="E29" i="17"/>
  <c r="E30" i="17"/>
  <c r="G30" i="17" s="1"/>
  <c r="E31" i="17"/>
  <c r="E32" i="17"/>
  <c r="G32" i="17" s="1"/>
  <c r="E33" i="17"/>
  <c r="E34" i="17"/>
  <c r="E35" i="17"/>
  <c r="E36" i="17"/>
  <c r="E37" i="17"/>
  <c r="E38" i="17"/>
  <c r="G38" i="17" s="1"/>
  <c r="E39" i="17"/>
  <c r="E40" i="17"/>
  <c r="G40" i="17" s="1"/>
  <c r="E41" i="17"/>
  <c r="E42" i="17"/>
  <c r="E43" i="17"/>
  <c r="E44" i="17"/>
  <c r="E45" i="17"/>
  <c r="E46" i="17"/>
  <c r="E47" i="17"/>
  <c r="E48" i="17"/>
  <c r="G48" i="17" s="1"/>
  <c r="E49" i="17"/>
  <c r="E50" i="17"/>
  <c r="E51" i="17"/>
  <c r="E52" i="17"/>
  <c r="E53" i="17"/>
  <c r="E54" i="17"/>
  <c r="E55" i="17"/>
  <c r="E56" i="17"/>
  <c r="G56" i="17" s="1"/>
  <c r="E57" i="17"/>
  <c r="E58" i="17"/>
  <c r="G58" i="17" s="1"/>
  <c r="E59" i="17"/>
  <c r="G59" i="17" s="1"/>
  <c r="E60" i="17"/>
  <c r="G60" i="17" s="1"/>
  <c r="E61" i="17"/>
  <c r="G61" i="17" s="1"/>
  <c r="E62" i="17"/>
  <c r="G62" i="17" s="1"/>
  <c r="E63" i="17"/>
  <c r="E64" i="17"/>
  <c r="G64" i="17" s="1"/>
  <c r="E65" i="17"/>
  <c r="E66" i="17"/>
  <c r="E67" i="17"/>
  <c r="G67" i="17" s="1"/>
  <c r="E68" i="17"/>
  <c r="E69" i="17"/>
  <c r="E70" i="17"/>
  <c r="E71" i="17"/>
  <c r="E72" i="17"/>
  <c r="G72" i="17" s="1"/>
  <c r="E73" i="17"/>
  <c r="E74" i="17"/>
  <c r="E75" i="17"/>
  <c r="G75" i="17" s="1"/>
  <c r="E76" i="17"/>
  <c r="E77" i="17"/>
  <c r="E79" i="17"/>
  <c r="E80" i="17"/>
  <c r="E81" i="17"/>
  <c r="G81" i="17" s="1"/>
  <c r="E82" i="17"/>
  <c r="E83" i="17"/>
  <c r="E84" i="17"/>
  <c r="G84" i="17" s="1"/>
  <c r="E85" i="17"/>
  <c r="E86" i="17"/>
  <c r="E87" i="17"/>
  <c r="E88" i="17"/>
  <c r="E89" i="17"/>
  <c r="G89" i="17" s="1"/>
  <c r="E90" i="17"/>
  <c r="E91" i="17"/>
  <c r="E92" i="17"/>
  <c r="G92" i="17" s="1"/>
  <c r="E93" i="17"/>
  <c r="E94" i="17"/>
  <c r="E95" i="17"/>
  <c r="G95" i="17" s="1"/>
  <c r="E96" i="17"/>
  <c r="E97" i="17"/>
  <c r="G97" i="17" s="1"/>
  <c r="E98" i="17"/>
  <c r="G98" i="17"/>
  <c r="E99" i="17"/>
  <c r="E100" i="17"/>
  <c r="G100" i="17" s="1"/>
  <c r="E101" i="17"/>
  <c r="E102" i="17"/>
  <c r="E103" i="17"/>
  <c r="E104" i="17"/>
  <c r="G104" i="17" s="1"/>
  <c r="E105" i="17"/>
  <c r="E106" i="17"/>
  <c r="E107" i="17"/>
  <c r="E108" i="17"/>
  <c r="E109" i="17"/>
  <c r="E110" i="17"/>
  <c r="E111" i="17"/>
  <c r="E112" i="17"/>
  <c r="G112" i="17" s="1"/>
  <c r="E113" i="17"/>
  <c r="E114" i="17"/>
  <c r="E115" i="17"/>
  <c r="E116" i="17"/>
  <c r="E117" i="17"/>
  <c r="E118" i="17"/>
  <c r="E119" i="17"/>
  <c r="E120" i="17"/>
  <c r="G120" i="17" s="1"/>
  <c r="E121" i="17"/>
  <c r="E122" i="17"/>
  <c r="E123" i="17"/>
  <c r="E124" i="17"/>
  <c r="E125" i="17"/>
  <c r="E126" i="17"/>
  <c r="E127" i="17"/>
  <c r="E128" i="17"/>
  <c r="G128" i="17" s="1"/>
  <c r="E129" i="17"/>
  <c r="E130" i="17"/>
  <c r="E131" i="17"/>
  <c r="E132" i="17"/>
  <c r="E133" i="17"/>
  <c r="E134" i="17"/>
  <c r="E135" i="17"/>
  <c r="E136" i="17"/>
  <c r="G136" i="17" s="1"/>
  <c r="E141" i="17"/>
  <c r="G141" i="17" s="1"/>
  <c r="E142" i="17"/>
  <c r="E143" i="17"/>
  <c r="E144" i="17"/>
  <c r="E145" i="17"/>
  <c r="E146" i="17"/>
  <c r="E147" i="17"/>
  <c r="E148" i="17"/>
  <c r="G148" i="17" s="1"/>
  <c r="E149" i="17"/>
  <c r="G149" i="17" s="1"/>
  <c r="E150" i="17"/>
  <c r="E151" i="17"/>
  <c r="E152" i="17"/>
  <c r="E153" i="17"/>
  <c r="E154" i="17"/>
  <c r="E155" i="17"/>
  <c r="E156" i="17"/>
  <c r="E157" i="17"/>
  <c r="G157" i="17" s="1"/>
  <c r="E158" i="17"/>
  <c r="E159" i="17"/>
  <c r="E160" i="17"/>
  <c r="E161" i="17"/>
  <c r="E162" i="17"/>
  <c r="E163" i="17"/>
  <c r="E164" i="17"/>
  <c r="G164" i="17" s="1"/>
  <c r="E165" i="17"/>
  <c r="G165" i="17" s="1"/>
  <c r="E166" i="17"/>
  <c r="E167" i="17"/>
  <c r="E168" i="17"/>
  <c r="E169" i="17"/>
  <c r="E170" i="17"/>
  <c r="E171" i="17"/>
  <c r="E172" i="17"/>
  <c r="G172" i="17" s="1"/>
  <c r="E173" i="17"/>
  <c r="G173" i="17" s="1"/>
  <c r="E174" i="17"/>
  <c r="E175" i="17"/>
  <c r="E176" i="17"/>
  <c r="E177" i="17"/>
  <c r="E178" i="17"/>
  <c r="E179" i="17"/>
  <c r="E180" i="17"/>
  <c r="G180" i="17" s="1"/>
  <c r="E181" i="17"/>
  <c r="G181" i="17" s="1"/>
  <c r="E182" i="17"/>
  <c r="E183" i="17"/>
  <c r="E184" i="17"/>
  <c r="E185" i="17"/>
  <c r="E186" i="17"/>
  <c r="E187" i="17"/>
  <c r="E188" i="17"/>
  <c r="G188" i="17" s="1"/>
  <c r="E189" i="17"/>
  <c r="G189" i="17" s="1"/>
  <c r="E190" i="17"/>
  <c r="E191" i="17"/>
  <c r="E192" i="17"/>
  <c r="E193" i="17"/>
  <c r="E194" i="17"/>
  <c r="E195" i="17"/>
  <c r="E196" i="17"/>
  <c r="G196" i="17" s="1"/>
  <c r="E197" i="17"/>
  <c r="G197" i="17" s="1"/>
  <c r="E198" i="17"/>
  <c r="E199" i="17"/>
  <c r="E200" i="17"/>
  <c r="E201" i="17"/>
  <c r="E202" i="17"/>
  <c r="E203" i="17"/>
  <c r="E204" i="17"/>
  <c r="G204" i="17" s="1"/>
  <c r="E205" i="17"/>
  <c r="E206" i="17"/>
  <c r="E207" i="17"/>
  <c r="E208" i="17"/>
  <c r="E209" i="17"/>
  <c r="E210" i="17"/>
  <c r="E211" i="17"/>
  <c r="E212" i="17"/>
  <c r="G212" i="17" s="1"/>
  <c r="E213" i="17"/>
  <c r="E214" i="17"/>
  <c r="E215" i="17"/>
  <c r="E216" i="17"/>
  <c r="E217" i="17"/>
  <c r="E218" i="17"/>
  <c r="E219" i="17"/>
  <c r="G219" i="17" s="1"/>
  <c r="E220" i="17"/>
  <c r="G220" i="17" s="1"/>
  <c r="E221" i="17"/>
  <c r="E222" i="17"/>
  <c r="E223" i="17"/>
  <c r="E224" i="17"/>
  <c r="E225" i="17"/>
  <c r="E226" i="17"/>
  <c r="E227" i="17"/>
  <c r="G227" i="17" s="1"/>
  <c r="E228" i="17"/>
  <c r="G228" i="17" s="1"/>
  <c r="E229" i="17"/>
  <c r="E230" i="17"/>
  <c r="E231" i="17"/>
  <c r="E232" i="17"/>
  <c r="E233" i="17"/>
  <c r="E234" i="17"/>
  <c r="E235" i="17"/>
  <c r="G235" i="17" s="1"/>
  <c r="E236" i="17"/>
  <c r="G236" i="17" s="1"/>
  <c r="E237" i="17"/>
  <c r="E238" i="17"/>
  <c r="E239" i="17"/>
  <c r="E240" i="17"/>
  <c r="E241" i="17"/>
  <c r="E242" i="17"/>
  <c r="E243" i="17"/>
  <c r="G243" i="17" s="1"/>
  <c r="E244" i="17"/>
  <c r="G244" i="17" s="1"/>
  <c r="E245" i="17"/>
  <c r="E246" i="17"/>
  <c r="E247" i="17"/>
  <c r="E248" i="17"/>
  <c r="E249" i="17"/>
  <c r="E250" i="17"/>
  <c r="E251" i="17"/>
  <c r="G251" i="17" s="1"/>
  <c r="E252" i="17"/>
  <c r="E253" i="17"/>
  <c r="E254" i="17"/>
  <c r="E4" i="17"/>
  <c r="G5" i="17"/>
  <c r="G6" i="17"/>
  <c r="G7" i="17"/>
  <c r="G8" i="17"/>
  <c r="G11" i="17"/>
  <c r="G12" i="17"/>
  <c r="G13" i="17"/>
  <c r="G15" i="17"/>
  <c r="G17" i="17"/>
  <c r="G18" i="17"/>
  <c r="G19" i="17"/>
  <c r="G20" i="17"/>
  <c r="G21" i="17"/>
  <c r="G23" i="17"/>
  <c r="G25" i="17"/>
  <c r="G26" i="17"/>
  <c r="G27" i="17"/>
  <c r="G28" i="17"/>
  <c r="G29" i="17"/>
  <c r="G31" i="17"/>
  <c r="G33" i="17"/>
  <c r="G34" i="17"/>
  <c r="G35" i="17"/>
  <c r="G36" i="17"/>
  <c r="G37" i="17"/>
  <c r="G39" i="17"/>
  <c r="G41" i="17"/>
  <c r="G42" i="17"/>
  <c r="G43" i="17"/>
  <c r="G44" i="17"/>
  <c r="G45" i="17"/>
  <c r="G46" i="17"/>
  <c r="G47" i="17"/>
  <c r="G49" i="17"/>
  <c r="G50" i="17"/>
  <c r="G51" i="17"/>
  <c r="G52" i="17"/>
  <c r="G53" i="17"/>
  <c r="G54" i="17"/>
  <c r="G55" i="17"/>
  <c r="G57" i="17"/>
  <c r="G63" i="17"/>
  <c r="G65" i="17"/>
  <c r="G66" i="17"/>
  <c r="G68" i="17"/>
  <c r="G69" i="17"/>
  <c r="G70" i="17"/>
  <c r="G71" i="17"/>
  <c r="G73" i="17"/>
  <c r="G74" i="17"/>
  <c r="G76" i="17"/>
  <c r="G77" i="17"/>
  <c r="G78" i="17"/>
  <c r="G79" i="17"/>
  <c r="G80" i="17"/>
  <c r="G82" i="17"/>
  <c r="G83" i="17"/>
  <c r="G85" i="17"/>
  <c r="G86" i="17"/>
  <c r="G87" i="17"/>
  <c r="G88" i="17"/>
  <c r="G90" i="17"/>
  <c r="G91" i="17"/>
  <c r="G93" i="17"/>
  <c r="G94" i="17"/>
  <c r="G96" i="17"/>
  <c r="G99" i="17"/>
  <c r="G101" i="17"/>
  <c r="G102" i="17"/>
  <c r="G103" i="17"/>
  <c r="G105" i="17"/>
  <c r="G106" i="17"/>
  <c r="G107" i="17"/>
  <c r="G108" i="17"/>
  <c r="G109" i="17"/>
  <c r="G110" i="17"/>
  <c r="G111" i="17"/>
  <c r="G113" i="17"/>
  <c r="G114" i="17"/>
  <c r="G115" i="17"/>
  <c r="G116" i="17"/>
  <c r="G117" i="17"/>
  <c r="G118" i="17"/>
  <c r="G119" i="17"/>
  <c r="G121" i="17"/>
  <c r="G122" i="17"/>
  <c r="G123" i="17"/>
  <c r="G124" i="17"/>
  <c r="G125" i="17"/>
  <c r="G126" i="17"/>
  <c r="G127" i="17"/>
  <c r="G129" i="17"/>
  <c r="G130" i="17"/>
  <c r="G131" i="17"/>
  <c r="G132" i="17"/>
  <c r="G133" i="17"/>
  <c r="G134" i="17"/>
  <c r="G135" i="17"/>
  <c r="G137" i="17"/>
  <c r="G138" i="17"/>
  <c r="G139" i="17"/>
  <c r="G140" i="17"/>
  <c r="G142" i="17"/>
  <c r="G143" i="17"/>
  <c r="G144" i="17"/>
  <c r="G145" i="17"/>
  <c r="G146" i="17"/>
  <c r="G147" i="17"/>
  <c r="G150" i="17"/>
  <c r="G151" i="17"/>
  <c r="G152" i="17"/>
  <c r="G153" i="17"/>
  <c r="G154" i="17"/>
  <c r="G155" i="17"/>
  <c r="G156" i="17"/>
  <c r="G158" i="17"/>
  <c r="G159" i="17"/>
  <c r="G160" i="17"/>
  <c r="G161" i="17"/>
  <c r="G162" i="17"/>
  <c r="G163" i="17"/>
  <c r="G166" i="17"/>
  <c r="G167" i="17"/>
  <c r="G168" i="17"/>
  <c r="G169" i="17"/>
  <c r="G170" i="17"/>
  <c r="G171" i="17"/>
  <c r="G174" i="17"/>
  <c r="G175" i="17"/>
  <c r="G176" i="17"/>
  <c r="G177" i="17"/>
  <c r="G178" i="17"/>
  <c r="G179" i="17"/>
  <c r="G182" i="17"/>
  <c r="G183" i="17"/>
  <c r="G184" i="17"/>
  <c r="G185" i="17"/>
  <c r="G186" i="17"/>
  <c r="G187" i="17"/>
  <c r="G190" i="17"/>
  <c r="G191" i="17"/>
  <c r="G192" i="17"/>
  <c r="G193" i="17"/>
  <c r="G194" i="17"/>
  <c r="G195" i="17"/>
  <c r="G198" i="17"/>
  <c r="G199" i="17"/>
  <c r="G200" i="17"/>
  <c r="G201" i="17"/>
  <c r="G202" i="17"/>
  <c r="G203" i="17"/>
  <c r="G205" i="17"/>
  <c r="G206" i="17"/>
  <c r="G207" i="17"/>
  <c r="G208" i="17"/>
  <c r="G209" i="17"/>
  <c r="G210" i="17"/>
  <c r="G211" i="17"/>
  <c r="G213" i="17"/>
  <c r="G214" i="17"/>
  <c r="G215" i="17"/>
  <c r="G216" i="17"/>
  <c r="G217" i="17"/>
  <c r="G218" i="17"/>
  <c r="G221" i="17"/>
  <c r="G222" i="17"/>
  <c r="G223" i="17"/>
  <c r="G224" i="17"/>
  <c r="G225" i="17"/>
  <c r="G226" i="17"/>
  <c r="G229" i="17"/>
  <c r="G230" i="17"/>
  <c r="G231" i="17"/>
  <c r="G232" i="17"/>
  <c r="G233" i="17"/>
  <c r="G234" i="17"/>
  <c r="G237" i="17"/>
  <c r="G238" i="17"/>
  <c r="G239" i="17"/>
  <c r="G240" i="17"/>
  <c r="G241" i="17"/>
  <c r="G242" i="17"/>
  <c r="G245" i="17"/>
  <c r="G246" i="17"/>
  <c r="G247" i="17"/>
  <c r="G248" i="17"/>
  <c r="G249" i="17"/>
  <c r="G250" i="17"/>
  <c r="G252" i="17"/>
  <c r="G253" i="17"/>
  <c r="G254" i="17"/>
  <c r="G4" i="17"/>
  <c r="E36" i="5"/>
  <c r="N233" i="5"/>
  <c r="L234" i="5"/>
  <c r="H234" i="5"/>
  <c r="E234" i="5"/>
  <c r="O185" i="5"/>
  <c r="L151" i="5"/>
  <c r="H151" i="5"/>
  <c r="E151" i="5"/>
  <c r="L93" i="5"/>
  <c r="L94" i="5"/>
  <c r="L95" i="5"/>
  <c r="L97" i="5"/>
  <c r="L99" i="5"/>
  <c r="H93" i="5"/>
  <c r="H94" i="5"/>
  <c r="H95" i="5"/>
  <c r="H97" i="5"/>
  <c r="H99" i="5"/>
  <c r="E93" i="5"/>
  <c r="E94" i="5"/>
  <c r="E95" i="5"/>
  <c r="E97" i="5"/>
  <c r="E99" i="5"/>
  <c r="L36" i="5"/>
  <c r="H36" i="5"/>
  <c r="L136" i="5"/>
  <c r="H136" i="5"/>
  <c r="E136" i="5"/>
  <c r="E89" i="5"/>
  <c r="E88" i="5"/>
  <c r="L12" i="5"/>
  <c r="H12" i="5"/>
  <c r="E12" i="5"/>
  <c r="L10" i="5"/>
  <c r="H10" i="5"/>
  <c r="E10" i="5"/>
  <c r="E291" i="5"/>
  <c r="H291" i="5"/>
  <c r="L291" i="5"/>
  <c r="E292" i="5"/>
  <c r="H292" i="5"/>
  <c r="L292" i="5"/>
  <c r="E293" i="5"/>
  <c r="H293" i="5"/>
  <c r="L293" i="5"/>
  <c r="E294" i="5"/>
  <c r="H294" i="5"/>
  <c r="L294" i="5"/>
  <c r="E295" i="5"/>
  <c r="H295" i="5"/>
  <c r="L295" i="5"/>
  <c r="E85" i="5"/>
  <c r="H85" i="5"/>
  <c r="L85" i="5"/>
  <c r="E233" i="5"/>
  <c r="E235" i="5"/>
  <c r="L236" i="5"/>
  <c r="H236" i="5"/>
  <c r="E236" i="5"/>
  <c r="L235" i="5"/>
  <c r="H235" i="5"/>
  <c r="E287" i="5"/>
  <c r="H287" i="5"/>
  <c r="L287" i="5"/>
  <c r="E288" i="5"/>
  <c r="H288" i="5"/>
  <c r="L288" i="5"/>
  <c r="E289" i="5"/>
  <c r="H289" i="5"/>
  <c r="L289" i="5"/>
  <c r="E286" i="5"/>
  <c r="H286" i="5"/>
  <c r="L286" i="5"/>
  <c r="E284" i="5"/>
  <c r="H284" i="5"/>
  <c r="L284" i="5"/>
  <c r="L283" i="5"/>
  <c r="H283" i="5"/>
  <c r="E283" i="5"/>
  <c r="L282" i="5"/>
  <c r="H282" i="5"/>
  <c r="H280" i="5"/>
  <c r="E282" i="5"/>
  <c r="E280" i="5"/>
  <c r="E8" i="5"/>
  <c r="H8" i="5"/>
  <c r="L178" i="5"/>
  <c r="H178" i="5"/>
  <c r="E178" i="5"/>
  <c r="L221" i="5"/>
  <c r="L222" i="5"/>
  <c r="E221" i="5"/>
  <c r="E222" i="5"/>
  <c r="H221" i="5"/>
  <c r="H222" i="5"/>
  <c r="L275" i="5"/>
  <c r="H275" i="5"/>
  <c r="E275" i="5"/>
  <c r="L279" i="5"/>
  <c r="H279" i="5"/>
  <c r="E279" i="5"/>
  <c r="L278" i="5"/>
  <c r="H278" i="5"/>
  <c r="E278" i="5"/>
  <c r="L150" i="5"/>
  <c r="H150" i="5"/>
  <c r="E150" i="5"/>
  <c r="L141" i="5"/>
  <c r="E141" i="5"/>
  <c r="H141" i="5"/>
  <c r="L218" i="5"/>
  <c r="H218" i="5"/>
  <c r="H217" i="5"/>
  <c r="E218" i="5"/>
  <c r="E217" i="5"/>
  <c r="L217" i="5"/>
  <c r="L118" i="5"/>
  <c r="H118" i="5"/>
  <c r="E118" i="5"/>
  <c r="L160" i="5"/>
  <c r="H160" i="5"/>
  <c r="E160" i="5"/>
  <c r="L152" i="5"/>
  <c r="H152" i="5"/>
  <c r="E152" i="5"/>
  <c r="L37" i="5"/>
  <c r="H37" i="5"/>
  <c r="E37" i="5"/>
  <c r="N172" i="5"/>
  <c r="N166" i="5"/>
  <c r="N170" i="5"/>
  <c r="N14" i="5"/>
  <c r="N13" i="5"/>
  <c r="N12" i="5"/>
  <c r="N9" i="5"/>
  <c r="N8" i="5"/>
  <c r="L29" i="5"/>
  <c r="H29" i="5"/>
  <c r="E29" i="5"/>
  <c r="E124" i="5"/>
  <c r="E123" i="5"/>
  <c r="E169" i="5"/>
  <c r="H169" i="5"/>
  <c r="L169" i="5"/>
  <c r="N18" i="5"/>
  <c r="E273" i="5"/>
  <c r="L268" i="5"/>
  <c r="H268" i="5"/>
  <c r="E268" i="5"/>
  <c r="L267" i="5"/>
  <c r="H267" i="5"/>
  <c r="E267" i="5"/>
  <c r="H89" i="5"/>
  <c r="L89" i="5"/>
  <c r="E137" i="5"/>
  <c r="H137" i="5"/>
  <c r="L137" i="5"/>
  <c r="E111" i="5"/>
  <c r="H111" i="5"/>
  <c r="L111" i="5"/>
  <c r="N295" i="5"/>
  <c r="E159" i="5"/>
  <c r="O14" i="5"/>
  <c r="E146" i="5"/>
  <c r="H146" i="5"/>
  <c r="L146" i="5"/>
  <c r="E253" i="5"/>
  <c r="H253" i="5"/>
  <c r="L253" i="5"/>
  <c r="N192" i="5"/>
  <c r="L105" i="5"/>
  <c r="H105" i="5"/>
  <c r="E105" i="5"/>
  <c r="E55" i="5"/>
  <c r="H55" i="5"/>
  <c r="L55" i="5"/>
  <c r="E54" i="5"/>
  <c r="H54" i="5"/>
  <c r="L54" i="5"/>
  <c r="E53" i="5"/>
  <c r="H53" i="5"/>
  <c r="L53" i="5"/>
  <c r="E27" i="5"/>
  <c r="H27" i="5"/>
  <c r="L27" i="5"/>
  <c r="E25" i="5"/>
  <c r="H25" i="5"/>
  <c r="L25" i="5"/>
  <c r="L185" i="5"/>
  <c r="H185" i="5"/>
  <c r="E185" i="5"/>
  <c r="L122" i="5"/>
  <c r="H122" i="5"/>
  <c r="E122" i="5"/>
  <c r="E57" i="5"/>
  <c r="L43" i="5"/>
  <c r="H43" i="5"/>
  <c r="E43" i="5"/>
  <c r="L44" i="5"/>
  <c r="H44" i="5"/>
  <c r="E44" i="5"/>
  <c r="L23" i="5"/>
  <c r="H23" i="5"/>
  <c r="E23" i="5"/>
  <c r="L18" i="5"/>
  <c r="H18" i="5"/>
  <c r="E18" i="5"/>
  <c r="L170" i="5"/>
  <c r="L171" i="5"/>
  <c r="H170" i="5"/>
  <c r="H171" i="5"/>
  <c r="E170" i="5"/>
  <c r="E171" i="5"/>
  <c r="E58" i="5"/>
  <c r="H58" i="5"/>
  <c r="L58" i="5"/>
  <c r="Q10" i="5"/>
  <c r="H128" i="5"/>
  <c r="O268" i="5"/>
  <c r="O267" i="5"/>
  <c r="E91" i="5"/>
  <c r="H91" i="5"/>
  <c r="L91" i="5"/>
  <c r="E9" i="5"/>
  <c r="E11" i="5"/>
  <c r="E13" i="5"/>
  <c r="E14" i="5"/>
  <c r="E15" i="5"/>
  <c r="E16" i="5"/>
  <c r="E17" i="5"/>
  <c r="E19" i="5"/>
  <c r="E21" i="5"/>
  <c r="E22" i="5"/>
  <c r="E28" i="5"/>
  <c r="E30" i="5"/>
  <c r="E31" i="5"/>
  <c r="E32" i="5"/>
  <c r="E34" i="5"/>
  <c r="E35" i="5"/>
  <c r="E38" i="5"/>
  <c r="E39" i="5"/>
  <c r="E41" i="5"/>
  <c r="E42" i="5"/>
  <c r="E45" i="5"/>
  <c r="E46" i="5"/>
  <c r="E47" i="5"/>
  <c r="E48" i="5"/>
  <c r="E49" i="5"/>
  <c r="E51" i="5"/>
  <c r="E52" i="5"/>
  <c r="E59" i="5"/>
  <c r="E61" i="5"/>
  <c r="E62" i="5"/>
  <c r="E63" i="5"/>
  <c r="E64" i="5"/>
  <c r="E65" i="5"/>
  <c r="E66" i="5"/>
  <c r="E67" i="5"/>
  <c r="E68" i="5"/>
  <c r="E70" i="5"/>
  <c r="E71" i="5"/>
  <c r="E72" i="5"/>
  <c r="E73" i="5"/>
  <c r="E74" i="5"/>
  <c r="E75" i="5"/>
  <c r="E77" i="5"/>
  <c r="E78" i="5"/>
  <c r="E79" i="5"/>
  <c r="E80" i="5"/>
  <c r="E81" i="5"/>
  <c r="E82" i="5"/>
  <c r="E83" i="5"/>
  <c r="E84" i="5"/>
  <c r="E86" i="5"/>
  <c r="E87" i="5"/>
  <c r="E90" i="5"/>
  <c r="E101" i="5"/>
  <c r="E102" i="5"/>
  <c r="E103" i="5"/>
  <c r="E104" i="5"/>
  <c r="E106" i="5"/>
  <c r="E108" i="5"/>
  <c r="E109" i="5"/>
  <c r="E110" i="5"/>
  <c r="E112" i="5"/>
  <c r="E114" i="5"/>
  <c r="E115" i="5"/>
  <c r="E116" i="5"/>
  <c r="E117" i="5"/>
  <c r="E119" i="5"/>
  <c r="E121" i="5"/>
  <c r="E126" i="5"/>
  <c r="E127" i="5"/>
  <c r="E128" i="5"/>
  <c r="E129" i="5"/>
  <c r="E130" i="5"/>
  <c r="E132" i="5"/>
  <c r="E133" i="5"/>
  <c r="E134" i="5"/>
  <c r="E135" i="5"/>
  <c r="E138" i="5"/>
  <c r="E139" i="5"/>
  <c r="E142" i="5"/>
  <c r="E143" i="5"/>
  <c r="E144" i="5"/>
  <c r="E145" i="5"/>
  <c r="E147" i="5"/>
  <c r="E153" i="5"/>
  <c r="E155" i="5"/>
  <c r="E156" i="5"/>
  <c r="E157" i="5"/>
  <c r="E158" i="5"/>
  <c r="E161" i="5"/>
  <c r="E163" i="5"/>
  <c r="E164" i="5"/>
  <c r="E165" i="5"/>
  <c r="E166" i="5"/>
  <c r="E167" i="5"/>
  <c r="E168" i="5"/>
  <c r="E172" i="5"/>
  <c r="E174" i="5"/>
  <c r="E175" i="5"/>
  <c r="E177" i="5"/>
  <c r="E179" i="5"/>
  <c r="E180" i="5"/>
  <c r="E181" i="5"/>
  <c r="E182" i="5"/>
  <c r="E184" i="5"/>
  <c r="E187" i="5"/>
  <c r="E188" i="5"/>
  <c r="E189" i="5"/>
  <c r="E190" i="5"/>
  <c r="E191" i="5"/>
  <c r="E193" i="5"/>
  <c r="E194" i="5"/>
  <c r="E195" i="5"/>
  <c r="E196" i="5"/>
  <c r="E197" i="5"/>
  <c r="E198" i="5"/>
  <c r="E208" i="5"/>
  <c r="E209" i="5"/>
  <c r="E211" i="5"/>
  <c r="E213" i="5"/>
  <c r="E214" i="5"/>
  <c r="E216" i="5"/>
  <c r="E219" i="5"/>
  <c r="E220" i="5"/>
  <c r="E276" i="5"/>
  <c r="E277" i="5"/>
  <c r="E223" i="5"/>
  <c r="E224" i="5"/>
  <c r="E225" i="5"/>
  <c r="E226" i="5"/>
  <c r="E227" i="5"/>
  <c r="E228" i="5"/>
  <c r="E229" i="5"/>
  <c r="E230" i="5"/>
  <c r="E231" i="5"/>
  <c r="E232" i="5"/>
  <c r="E238" i="5"/>
  <c r="E239" i="5"/>
  <c r="E240" i="5"/>
  <c r="E241" i="5"/>
  <c r="E242" i="5"/>
  <c r="E243" i="5"/>
  <c r="E244" i="5"/>
  <c r="E245" i="5"/>
  <c r="E246" i="5"/>
  <c r="E247" i="5"/>
  <c r="E248" i="5"/>
  <c r="E250" i="5"/>
  <c r="E251" i="5"/>
  <c r="E254" i="5"/>
  <c r="E255" i="5"/>
  <c r="E256" i="5"/>
  <c r="E258" i="5"/>
  <c r="E265" i="5"/>
  <c r="L258" i="5"/>
  <c r="L265" i="5"/>
  <c r="H265" i="5"/>
  <c r="H258" i="5"/>
  <c r="Q18" i="5"/>
  <c r="L9" i="5"/>
  <c r="L11" i="5"/>
  <c r="L13" i="5"/>
  <c r="L14" i="5"/>
  <c r="L15" i="5"/>
  <c r="L16" i="5"/>
  <c r="L17" i="5"/>
  <c r="L19" i="5"/>
  <c r="L21" i="5"/>
  <c r="L22" i="5"/>
  <c r="L28" i="5"/>
  <c r="L30" i="5"/>
  <c r="L31" i="5"/>
  <c r="L32" i="5"/>
  <c r="L34" i="5"/>
  <c r="L35" i="5"/>
  <c r="L38" i="5"/>
  <c r="L39" i="5"/>
  <c r="L41" i="5"/>
  <c r="L42" i="5"/>
  <c r="L45" i="5"/>
  <c r="L46" i="5"/>
  <c r="L47" i="5"/>
  <c r="L48" i="5"/>
  <c r="L49" i="5"/>
  <c r="L51" i="5"/>
  <c r="L52" i="5"/>
  <c r="L57" i="5"/>
  <c r="L59" i="5"/>
  <c r="L61" i="5"/>
  <c r="L62" i="5"/>
  <c r="L63" i="5"/>
  <c r="L64" i="5"/>
  <c r="L65" i="5"/>
  <c r="L66" i="5"/>
  <c r="L67" i="5"/>
  <c r="L68" i="5"/>
  <c r="L70" i="5"/>
  <c r="L71" i="5"/>
  <c r="L72" i="5"/>
  <c r="L73" i="5"/>
  <c r="L74" i="5"/>
  <c r="L75" i="5"/>
  <c r="L77" i="5"/>
  <c r="L78" i="5"/>
  <c r="L79" i="5"/>
  <c r="L80" i="5"/>
  <c r="L81" i="5"/>
  <c r="L82" i="5"/>
  <c r="L83" i="5"/>
  <c r="L84" i="5"/>
  <c r="L86" i="5"/>
  <c r="L87" i="5"/>
  <c r="L88" i="5"/>
  <c r="L90" i="5"/>
  <c r="L101" i="5"/>
  <c r="L102" i="5"/>
  <c r="L103" i="5"/>
  <c r="L104" i="5"/>
  <c r="L106" i="5"/>
  <c r="L108" i="5"/>
  <c r="L109" i="5"/>
  <c r="L110" i="5"/>
  <c r="L112" i="5"/>
  <c r="L114" i="5"/>
  <c r="L115" i="5"/>
  <c r="L116" i="5"/>
  <c r="L117" i="5"/>
  <c r="L119" i="5"/>
  <c r="L121" i="5"/>
  <c r="L123" i="5"/>
  <c r="L124" i="5"/>
  <c r="L126" i="5"/>
  <c r="L127" i="5"/>
  <c r="L128" i="5"/>
  <c r="L129" i="5"/>
  <c r="L130" i="5"/>
  <c r="L132" i="5"/>
  <c r="L133" i="5"/>
  <c r="L134" i="5"/>
  <c r="L135" i="5"/>
  <c r="L138" i="5"/>
  <c r="L139" i="5"/>
  <c r="L142" i="5"/>
  <c r="L143" i="5"/>
  <c r="L144" i="5"/>
  <c r="L145" i="5"/>
  <c r="L147" i="5"/>
  <c r="L149" i="5"/>
  <c r="L153" i="5"/>
  <c r="L155" i="5"/>
  <c r="L156" i="5"/>
  <c r="L157" i="5"/>
  <c r="L158" i="5"/>
  <c r="L159" i="5"/>
  <c r="L161" i="5"/>
  <c r="L163" i="5"/>
  <c r="L164" i="5"/>
  <c r="L165" i="5"/>
  <c r="L166" i="5"/>
  <c r="L167" i="5"/>
  <c r="L168" i="5"/>
  <c r="L172" i="5"/>
  <c r="L174" i="5"/>
  <c r="L175" i="5"/>
  <c r="L177" i="5"/>
  <c r="L179" i="5"/>
  <c r="L180" i="5"/>
  <c r="L181" i="5"/>
  <c r="L182" i="5"/>
  <c r="L184" i="5"/>
  <c r="L187" i="5"/>
  <c r="L188" i="5"/>
  <c r="L189" i="5"/>
  <c r="L190" i="5"/>
  <c r="L191" i="5"/>
  <c r="L193" i="5"/>
  <c r="L194" i="5"/>
  <c r="L195" i="5"/>
  <c r="L196" i="5"/>
  <c r="L197" i="5"/>
  <c r="L198" i="5"/>
  <c r="L208" i="5"/>
  <c r="L209" i="5"/>
  <c r="L211" i="5"/>
  <c r="L213" i="5"/>
  <c r="L214" i="5"/>
  <c r="L216" i="5"/>
  <c r="L219" i="5"/>
  <c r="L220" i="5"/>
  <c r="L276" i="5"/>
  <c r="L277" i="5"/>
  <c r="L223" i="5"/>
  <c r="L224" i="5"/>
  <c r="L225" i="5"/>
  <c r="L226" i="5"/>
  <c r="L227" i="5"/>
  <c r="L228" i="5"/>
  <c r="L229" i="5"/>
  <c r="L230" i="5"/>
  <c r="L231" i="5"/>
  <c r="L232" i="5"/>
  <c r="L233" i="5"/>
  <c r="L280" i="5"/>
  <c r="L238" i="5"/>
  <c r="L239" i="5"/>
  <c r="L240" i="5"/>
  <c r="L241" i="5"/>
  <c r="L242" i="5"/>
  <c r="L243" i="5"/>
  <c r="L244" i="5"/>
  <c r="L245" i="5"/>
  <c r="L246" i="5"/>
  <c r="L247" i="5"/>
  <c r="L248" i="5"/>
  <c r="L250" i="5"/>
  <c r="L251" i="5"/>
  <c r="L254" i="5"/>
  <c r="L255" i="5"/>
  <c r="L256" i="5"/>
  <c r="L8" i="5"/>
  <c r="H9" i="5"/>
  <c r="H11" i="5"/>
  <c r="H13" i="5"/>
  <c r="H14" i="5"/>
  <c r="H15" i="5"/>
  <c r="H16" i="5"/>
  <c r="H17" i="5"/>
  <c r="H19" i="5"/>
  <c r="H21" i="5"/>
  <c r="H22" i="5"/>
  <c r="H28" i="5"/>
  <c r="H30" i="5"/>
  <c r="H31" i="5"/>
  <c r="H32" i="5"/>
  <c r="H34" i="5"/>
  <c r="H35" i="5"/>
  <c r="H38" i="5"/>
  <c r="H39" i="5"/>
  <c r="H41" i="5"/>
  <c r="H42" i="5"/>
  <c r="H45" i="5"/>
  <c r="H46" i="5"/>
  <c r="H47" i="5"/>
  <c r="H48" i="5"/>
  <c r="H49" i="5"/>
  <c r="H51" i="5"/>
  <c r="H52" i="5"/>
  <c r="H57" i="5"/>
  <c r="H59" i="5"/>
  <c r="H61" i="5"/>
  <c r="H62" i="5"/>
  <c r="H63" i="5"/>
  <c r="H64" i="5"/>
  <c r="H65" i="5"/>
  <c r="H66" i="5"/>
  <c r="H67" i="5"/>
  <c r="H68" i="5"/>
  <c r="H70" i="5"/>
  <c r="H71" i="5"/>
  <c r="H72" i="5"/>
  <c r="H73" i="5"/>
  <c r="H74" i="5"/>
  <c r="H75" i="5"/>
  <c r="H77" i="5"/>
  <c r="H78" i="5"/>
  <c r="H79" i="5"/>
  <c r="H80" i="5"/>
  <c r="H81" i="5"/>
  <c r="H82" i="5"/>
  <c r="H83" i="5"/>
  <c r="H84" i="5"/>
  <c r="H86" i="5"/>
  <c r="H87" i="5"/>
  <c r="H88" i="5"/>
  <c r="H90" i="5"/>
  <c r="H101" i="5"/>
  <c r="H102" i="5"/>
  <c r="H103" i="5"/>
  <c r="H104" i="5"/>
  <c r="H106" i="5"/>
  <c r="H108" i="5"/>
  <c r="H109" i="5"/>
  <c r="H110" i="5"/>
  <c r="H112" i="5"/>
  <c r="H114" i="5"/>
  <c r="H115" i="5"/>
  <c r="H116" i="5"/>
  <c r="H117" i="5"/>
  <c r="H119" i="5"/>
  <c r="H121" i="5"/>
  <c r="H123" i="5"/>
  <c r="H124" i="5"/>
  <c r="H126" i="5"/>
  <c r="H127" i="5"/>
  <c r="H129" i="5"/>
  <c r="H130" i="5"/>
  <c r="H132" i="5"/>
  <c r="H133" i="5"/>
  <c r="H134" i="5"/>
  <c r="H135" i="5"/>
  <c r="H138" i="5"/>
  <c r="H139" i="5"/>
  <c r="H142" i="5"/>
  <c r="H143" i="5"/>
  <c r="H144" i="5"/>
  <c r="H145" i="5"/>
  <c r="H147" i="5"/>
  <c r="H149" i="5"/>
  <c r="H153" i="5"/>
  <c r="H155" i="5"/>
  <c r="H156" i="5"/>
  <c r="H157" i="5"/>
  <c r="H158" i="5"/>
  <c r="H159" i="5"/>
  <c r="H161" i="5"/>
  <c r="H163" i="5"/>
  <c r="H164" i="5"/>
  <c r="H165" i="5"/>
  <c r="H166" i="5"/>
  <c r="H167" i="5"/>
  <c r="H168" i="5"/>
  <c r="H172" i="5"/>
  <c r="H174" i="5"/>
  <c r="H175" i="5"/>
  <c r="H177" i="5"/>
  <c r="H179" i="5"/>
  <c r="H180" i="5"/>
  <c r="H181" i="5"/>
  <c r="H182" i="5"/>
  <c r="H184" i="5"/>
  <c r="H187" i="5"/>
  <c r="H188" i="5"/>
  <c r="H189" i="5"/>
  <c r="H190" i="5"/>
  <c r="H191" i="5"/>
  <c r="H193" i="5"/>
  <c r="H194" i="5"/>
  <c r="H195" i="5"/>
  <c r="H196" i="5"/>
  <c r="H197" i="5"/>
  <c r="H198" i="5"/>
  <c r="H208" i="5"/>
  <c r="H209" i="5"/>
  <c r="H211" i="5"/>
  <c r="H213" i="5"/>
  <c r="H214" i="5"/>
  <c r="H216" i="5"/>
  <c r="H219" i="5"/>
  <c r="H220" i="5"/>
  <c r="H276" i="5"/>
  <c r="H277" i="5"/>
  <c r="H223" i="5"/>
  <c r="H224" i="5"/>
  <c r="H225" i="5"/>
  <c r="H226" i="5"/>
  <c r="H227" i="5"/>
  <c r="H228" i="5"/>
  <c r="H229" i="5"/>
  <c r="H230" i="5"/>
  <c r="H231" i="5"/>
  <c r="H232" i="5"/>
  <c r="H233" i="5"/>
  <c r="H238" i="5"/>
  <c r="H239" i="5"/>
  <c r="H240" i="5"/>
  <c r="H241" i="5"/>
  <c r="H242" i="5"/>
  <c r="H243" i="5"/>
  <c r="H244" i="5"/>
  <c r="H245" i="5"/>
  <c r="H246" i="5"/>
  <c r="H247" i="5"/>
  <c r="H248" i="5"/>
  <c r="H250" i="5"/>
  <c r="H251" i="5"/>
  <c r="H254" i="5"/>
  <c r="H255" i="5"/>
  <c r="H256" i="5"/>
  <c r="P10" i="5"/>
  <c r="R14" i="5"/>
  <c r="S13" i="5"/>
  <c r="R13" i="5"/>
  <c r="P106" i="5"/>
  <c r="E284" i="14"/>
</calcChain>
</file>

<file path=xl/sharedStrings.xml><?xml version="1.0" encoding="utf-8"?>
<sst xmlns="http://schemas.openxmlformats.org/spreadsheetml/2006/main" count="3474" uniqueCount="988">
  <si>
    <t>Artículo</t>
  </si>
  <si>
    <t>bolsa polipropileno 20x30</t>
  </si>
  <si>
    <t>bolsa polipropileno 30x40</t>
  </si>
  <si>
    <t>bolsa polipropileno 10x15</t>
  </si>
  <si>
    <t>bolsa polipropileno 40x50</t>
  </si>
  <si>
    <t>bolsa polipropileno 35x45</t>
  </si>
  <si>
    <t>talonarios presupuesto chico</t>
  </si>
  <si>
    <t>bolsa polipropileno 25x35</t>
  </si>
  <si>
    <t>x unid</t>
  </si>
  <si>
    <t>bolsa polipropileno 10x20</t>
  </si>
  <si>
    <t>Obleas 618</t>
  </si>
  <si>
    <t>Obleas 619</t>
  </si>
  <si>
    <t>Cant</t>
  </si>
  <si>
    <t>P compra</t>
  </si>
  <si>
    <t>% rem</t>
  </si>
  <si>
    <t>bolsa polipropileno 15x20</t>
  </si>
  <si>
    <t>DISTRIBUIDORA SAN LORENZO de Baudracco Alejandro J</t>
  </si>
  <si>
    <t>Contado</t>
  </si>
  <si>
    <t>bolsa polipropileno 15x35</t>
  </si>
  <si>
    <t>Publica s/n - San Lorenzo</t>
  </si>
  <si>
    <t>folex 14x14 hamburguesa</t>
  </si>
  <si>
    <t>Informe de compatibilidad para Lista precio 2016.xls</t>
  </si>
  <si>
    <t>Ejecutar el 05/09/2020 01:07</t>
  </si>
  <si>
    <t>Las siguientes características de este libro no son compatibles con versiones anteriores de Excel. Estas características podrían perderse o degradarse si abre el libro con una versión anterior de Excel o si guarda el libro con un formato de archivo anterior.</t>
  </si>
  <si>
    <t>Pérdida menor de fidelidad</t>
  </si>
  <si>
    <t>Nº de apariciones</t>
  </si>
  <si>
    <t>Versión</t>
  </si>
  <si>
    <t>Una hoja de cálculo de este libro contiene un estado de ordenación que usa una condición que especifica la información de formato. Esta información se perderá en versiones anteriores de Excel.</t>
  </si>
  <si>
    <t>la cava'!A6:C96</t>
  </si>
  <si>
    <t>Excel 97-2003</t>
  </si>
  <si>
    <t>Algunas celdas o estilos de este libro contienen un formato no admitido en el formato de archivo seleccionado. Estos formatos se convertirán al formato más cercano disponible.</t>
  </si>
  <si>
    <t>transcurso de la semana.</t>
  </si>
  <si>
    <r>
      <t>El precio: "</t>
    </r>
    <r>
      <rPr>
        <sz val="14"/>
        <rFont val="Arial"/>
        <family val="2"/>
      </rPr>
      <t>Contado</t>
    </r>
    <r>
      <rPr>
        <sz val="14"/>
        <color indexed="56"/>
        <rFont val="Arial"/>
        <family val="2"/>
      </rPr>
      <t>" es unicamente en efectivo o con transferencia en el día.</t>
    </r>
  </si>
  <si>
    <r>
      <t xml:space="preserve">El precio: " </t>
    </r>
    <r>
      <rPr>
        <sz val="14"/>
        <rFont val="Arial"/>
        <family val="2"/>
      </rPr>
      <t>P Lista</t>
    </r>
    <r>
      <rPr>
        <sz val="14"/>
        <color indexed="56"/>
        <rFont val="Arial"/>
        <family val="2"/>
      </rPr>
      <t xml:space="preserve">" es cuando tienen saldos pendientes, o se abonan en el </t>
    </r>
  </si>
  <si>
    <t>Lista</t>
  </si>
  <si>
    <t>Fin</t>
  </si>
  <si>
    <t>Bolsas Precorte</t>
  </si>
  <si>
    <t>Rollos de arranque 15x20 rolan</t>
  </si>
  <si>
    <t>Rollos de arranque x 600 grs RH</t>
  </si>
  <si>
    <t>Rollos de arranque x 1200 grs RH</t>
  </si>
  <si>
    <t>Rollos de arranque x 600 grs Poli</t>
  </si>
  <si>
    <t>Rollos de arranque x 1200 grsPoli</t>
  </si>
  <si>
    <t>Rollos de arranque 20x60 RH</t>
  </si>
  <si>
    <t>Rollos de arranque x 1200 grs Mapsa</t>
  </si>
  <si>
    <t>Rollos de arranque BD Rolan x 1500 grs</t>
  </si>
  <si>
    <t xml:space="preserve">Rollos de arranque BD Poli </t>
  </si>
  <si>
    <t>Camisetas</t>
  </si>
  <si>
    <t>Camiseta 30x40 Funda Amarilla</t>
  </si>
  <si>
    <t>Camiseta 40x50 Negra</t>
  </si>
  <si>
    <t>Camiseta 40x50 Blanca "Z"</t>
  </si>
  <si>
    <t>Camiseta 40x50 Blanca Ref Funda Azul</t>
  </si>
  <si>
    <t>Camiseta 45x60 color Tiburon</t>
  </si>
  <si>
    <t>Camiseta 45x60 color Nicolle</t>
  </si>
  <si>
    <t>Camiseta 45x60 blanca Mundi</t>
  </si>
  <si>
    <t>Folex</t>
  </si>
  <si>
    <t>Folex 20x25 paquete x 200 grs</t>
  </si>
  <si>
    <t>Bolsas de Residuos</t>
  </si>
  <si>
    <t>Bolsas de residuos 45x60 x 30 u</t>
  </si>
  <si>
    <t>Bolsas de residuos 45x60 x 10 u</t>
  </si>
  <si>
    <t>Bolsas de residuos 45x60 Patogena</t>
  </si>
  <si>
    <t>Bolsas consorcio 60x90 x 10 u eco</t>
  </si>
  <si>
    <t>Bolsas consorcio 60x90 Amarillas</t>
  </si>
  <si>
    <t>Bolsas consorcio 60x90 Verdes</t>
  </si>
  <si>
    <t>Bolsas consorcio 60x90 Patógena</t>
  </si>
  <si>
    <t>Bolsas consorcio 60x90 Blanca x 50 u</t>
  </si>
  <si>
    <t>Bolsas compactadora 80x110 x 10 u eco</t>
  </si>
  <si>
    <t>Bolsas compactadora 80x110 x 50 u Ref</t>
  </si>
  <si>
    <t>Bolsas compactadora 80x110 Blanca</t>
  </si>
  <si>
    <t>Bolsas compactadora 80x110 x 10 u Polires</t>
  </si>
  <si>
    <t>Bolsas compactadora 90x120 x 10 u</t>
  </si>
  <si>
    <t>Bolsas compactadora 90x120 x 10 u Polires</t>
  </si>
  <si>
    <t>Bolsas Especiales</t>
  </si>
  <si>
    <t>Bolsas de arena</t>
  </si>
  <si>
    <t>Bolsas de leña</t>
  </si>
  <si>
    <t>Bolsas de horno 30x45 cm</t>
  </si>
  <si>
    <t>Bolsas Emblocadas</t>
  </si>
  <si>
    <t>Emblocada 15x20</t>
  </si>
  <si>
    <t>Emblocada 15x25</t>
  </si>
  <si>
    <t>Emblocada 20x30</t>
  </si>
  <si>
    <t>Emblocada 25x35</t>
  </si>
  <si>
    <t>Emblocada 30x40</t>
  </si>
  <si>
    <t>Emblocada 35x45</t>
  </si>
  <si>
    <t>Emblocada 40x50</t>
  </si>
  <si>
    <t>Emblocada 25x60</t>
  </si>
  <si>
    <t>Bolsas Rendidoras</t>
  </si>
  <si>
    <t>Rendidor 15x25</t>
  </si>
  <si>
    <t>Rendidor 20x25</t>
  </si>
  <si>
    <t>Rendidor 20x30</t>
  </si>
  <si>
    <t>Rendidor 25x35</t>
  </si>
  <si>
    <t>Rendidor 30x40</t>
  </si>
  <si>
    <t>Rendidor 35x45</t>
  </si>
  <si>
    <t>Bolsas de Polipropileno</t>
  </si>
  <si>
    <t>bolsa polipropileno 04x18</t>
  </si>
  <si>
    <t>bolsa polipropileno 06x20</t>
  </si>
  <si>
    <t>bolsa polipropileno 08x10</t>
  </si>
  <si>
    <t>Bolsa Baja densidad Tubo prepizza</t>
  </si>
  <si>
    <t>bolsa prepizza impresas polipropileno</t>
  </si>
  <si>
    <t>Bolsas Corte Riñon Fantasía</t>
  </si>
  <si>
    <t>riñon 15x20</t>
  </si>
  <si>
    <t>riñon 20x30</t>
  </si>
  <si>
    <t>riñon 25x35</t>
  </si>
  <si>
    <t>riñon 30x40</t>
  </si>
  <si>
    <t>riñon 40x50</t>
  </si>
  <si>
    <t>riñon 35x58 x 10 u cartera</t>
  </si>
  <si>
    <t>Cajas Especiales</t>
  </si>
  <si>
    <t>Cajas Feliz</t>
  </si>
  <si>
    <t>Cajas de masas blanca 1/4</t>
  </si>
  <si>
    <t>Cajas de masas blanca 1/2</t>
  </si>
  <si>
    <t>Cajas de masas blanca 1 kgs</t>
  </si>
  <si>
    <t>Cajas de Torta impresas</t>
  </si>
  <si>
    <t>Bandejas Carton Rectangular</t>
  </si>
  <si>
    <t>Bandeja n 1</t>
  </si>
  <si>
    <t>Bandeja n 2</t>
  </si>
  <si>
    <t>Bandeja n 3</t>
  </si>
  <si>
    <t>Bandeja n 4</t>
  </si>
  <si>
    <t>Bandeja n 5</t>
  </si>
  <si>
    <t>Bandejas Carton Redondas</t>
  </si>
  <si>
    <t>Bandeja n 13</t>
  </si>
  <si>
    <t>Bandeja n 14</t>
  </si>
  <si>
    <t>Bandeja n 15</t>
  </si>
  <si>
    <t>Bandeja n 16</t>
  </si>
  <si>
    <t>Bandejas Carton Doradas</t>
  </si>
  <si>
    <t>Bandeja x 2 kgs rectangular</t>
  </si>
  <si>
    <t>Bandeja x 3 Kgs rectangular</t>
  </si>
  <si>
    <t>Cajas de Carton</t>
  </si>
  <si>
    <t>Cajas de pizza "E" eco</t>
  </si>
  <si>
    <t>Cajas pizza Ref octogonal</t>
  </si>
  <si>
    <t>Cajas pizza corrugado</t>
  </si>
  <si>
    <t>Cajas Lomo gris grande eco</t>
  </si>
  <si>
    <t>Cajas de empanadas</t>
  </si>
  <si>
    <t>Cajas de 1/2 pizza</t>
  </si>
  <si>
    <t>Conos de papas fritas</t>
  </si>
  <si>
    <t xml:space="preserve">Bolsas de Papel Kraft </t>
  </si>
  <si>
    <t>Bolsas de papel n 1</t>
  </si>
  <si>
    <t>Bolsas de papel n 3</t>
  </si>
  <si>
    <t>Bolsas de papel n 4</t>
  </si>
  <si>
    <t>Bolsas de papel n 6</t>
  </si>
  <si>
    <t>Bolsas de papel n 7</t>
  </si>
  <si>
    <t>Bolsas de papel n 8</t>
  </si>
  <si>
    <t>Papel</t>
  </si>
  <si>
    <t>Copsi comun 40 y 60 cm resma</t>
  </si>
  <si>
    <t>kgs</t>
  </si>
  <si>
    <t>Copsi comun 20, 40 y 60 bobina</t>
  </si>
  <si>
    <t>Bandejas 618</t>
  </si>
  <si>
    <t>Bandejas 617</t>
  </si>
  <si>
    <t>Bandejas 625</t>
  </si>
  <si>
    <t>Bandejas 628</t>
  </si>
  <si>
    <t>Bandejas Telgopor y Obleas</t>
  </si>
  <si>
    <t>Bandejas Plasticas</t>
  </si>
  <si>
    <t>Bandejas 101</t>
  </si>
  <si>
    <t>Bandejas 102 work micro</t>
  </si>
  <si>
    <t>Bandejas 103 work micro</t>
  </si>
  <si>
    <t>Bandejas 105 work micro</t>
  </si>
  <si>
    <t>Bandejas 107</t>
  </si>
  <si>
    <t>Bandejas 103 Zuma micro</t>
  </si>
  <si>
    <t>Bandejas 105 Zuma micro</t>
  </si>
  <si>
    <t>Ensaladera bowl 900 cc</t>
  </si>
  <si>
    <t>Tapa ensaladera bowl 900 cc</t>
  </si>
  <si>
    <t>Cintas</t>
  </si>
  <si>
    <t>Cinta 48 mm x 100 mts</t>
  </si>
  <si>
    <t>Cinta 24 mm x 50 mts</t>
  </si>
  <si>
    <t>Cubiertos Descartables</t>
  </si>
  <si>
    <t>Cucharas sundae Kovalplast x 50u</t>
  </si>
  <si>
    <t>Cucharas soperas</t>
  </si>
  <si>
    <t>Cubiertos Kovalplast x 50 u</t>
  </si>
  <si>
    <t>Agitadores p/ café</t>
  </si>
  <si>
    <t>Agitadores trago largo</t>
  </si>
  <si>
    <t>Platos Descartables</t>
  </si>
  <si>
    <t>Platos 17 cm</t>
  </si>
  <si>
    <t>Platos 22 cm</t>
  </si>
  <si>
    <t>Potes Plasticos</t>
  </si>
  <si>
    <t>Potes 250grs c/ tapa</t>
  </si>
  <si>
    <t>Potes 500 grs c/ tapa</t>
  </si>
  <si>
    <t>Potes 1 kgs c/ tapa</t>
  </si>
  <si>
    <t>Potes 1 kgs s/ tapa</t>
  </si>
  <si>
    <t>Vasos Plasticos</t>
  </si>
  <si>
    <t>Vasos 110 cc</t>
  </si>
  <si>
    <t>Vasos 180 cc</t>
  </si>
  <si>
    <t>Vasos 300 cc</t>
  </si>
  <si>
    <t>Vasos 800 cc</t>
  </si>
  <si>
    <t>Vasos termicos 180 cc</t>
  </si>
  <si>
    <t>Tapa vasos termicos 180 cc</t>
  </si>
  <si>
    <t>Vasos termicos 300 cc</t>
  </si>
  <si>
    <t>Tapa vasos termicos 300 cc</t>
  </si>
  <si>
    <t>Servilletas</t>
  </si>
  <si>
    <t>Servilletas 14x14 bar</t>
  </si>
  <si>
    <t>Servilletas 18x18 c/guarda</t>
  </si>
  <si>
    <t>Servilletas 33x33</t>
  </si>
  <si>
    <t>Hilo de algodón x 250 grs</t>
  </si>
  <si>
    <t xml:space="preserve">Escarbadientes x 800 </t>
  </si>
  <si>
    <t>Guantes polietileno</t>
  </si>
  <si>
    <t>Guantes de latex</t>
  </si>
  <si>
    <t>Guantes nitrito negro</t>
  </si>
  <si>
    <t xml:space="preserve">Sorbetes </t>
  </si>
  <si>
    <t>Sorbetes x 1000 unidad</t>
  </si>
  <si>
    <t>Sorbetes x 500 unid negro</t>
  </si>
  <si>
    <t>Palitos Brochette x 25 u</t>
  </si>
  <si>
    <t>Bandas Elasticas x 100 grs</t>
  </si>
  <si>
    <t>Precintos plasticos x 100 grs</t>
  </si>
  <si>
    <t>Tripodes pizza kgs</t>
  </si>
  <si>
    <t>Rollos etiquetas blanco</t>
  </si>
  <si>
    <t>Rollos registradora 44 mm</t>
  </si>
  <si>
    <t>Rollos registradora 57 mm</t>
  </si>
  <si>
    <t>Rollos industrial papel x 400 mts x 2 u</t>
  </si>
  <si>
    <t>Rollos Familiares y grandes Films</t>
  </si>
  <si>
    <t>Papel manteca familiar x 5 mts</t>
  </si>
  <si>
    <t>Papel aluminio x 5 mts</t>
  </si>
  <si>
    <t>Papel aluminio x kgs</t>
  </si>
  <si>
    <t>Film familiar x 30 mts PVC</t>
  </si>
  <si>
    <t>Film 38 cm Nobleza x 260 mts</t>
  </si>
  <si>
    <t>Film FILMROLL ZUMA 12" x 600 mts</t>
  </si>
  <si>
    <t>Film FILMROLL ZUMA 15" x 600 mts</t>
  </si>
  <si>
    <t>Film 12" Magic 300mm</t>
  </si>
  <si>
    <t>Film 15" Magic 380mm</t>
  </si>
  <si>
    <t>Resinite 380mm x 500 mts</t>
  </si>
  <si>
    <t>Streech 10 cm</t>
  </si>
  <si>
    <t>Moños</t>
  </si>
  <si>
    <t>Moños chicos surtidos</t>
  </si>
  <si>
    <t>Moños medianos surtidos</t>
  </si>
  <si>
    <t>Moldes</t>
  </si>
  <si>
    <t>Moldes de roscas n 20</t>
  </si>
  <si>
    <t>Budinera de papel 250 grs</t>
  </si>
  <si>
    <t>Moldes pan dulce 250 grs</t>
  </si>
  <si>
    <t>Moldes pan dulce 500 grs</t>
  </si>
  <si>
    <t>Bolsas Ecológicas</t>
  </si>
  <si>
    <t>Friselina fantasia 45x40</t>
  </si>
  <si>
    <t>Bolsas kraft vino impresión</t>
  </si>
  <si>
    <t>Funda traje PP 60x90 x 10 u</t>
  </si>
  <si>
    <t>Consorcio 60x90 cristal</t>
  </si>
  <si>
    <t>Bolsas acuario class kraft 22cm</t>
  </si>
  <si>
    <t>Total</t>
  </si>
  <si>
    <t>Bandejas 105 Banplast micro</t>
  </si>
  <si>
    <t>Camiseta 45x60 color Salome</t>
  </si>
  <si>
    <t xml:space="preserve">Inventario: </t>
  </si>
  <si>
    <t>Potes bisagras 350 cc</t>
  </si>
  <si>
    <t>Camiseta 20x30 Poli</t>
  </si>
  <si>
    <t>Folex 20x25 Son Buenas</t>
  </si>
  <si>
    <t>Rollos de arranque 15x20 rendidor</t>
  </si>
  <si>
    <t>Folex 20x25 Polimundi</t>
  </si>
  <si>
    <t>Papel diario (primera) 40 cm</t>
  </si>
  <si>
    <t>Bandeja n 6</t>
  </si>
  <si>
    <t>Tel. 03544 - 15590440 - dsldescartables@gmail.com</t>
  </si>
  <si>
    <t xml:space="preserve">                 </t>
  </si>
  <si>
    <t>Bandejas 628 Negras</t>
  </si>
  <si>
    <t>Hilo choricero ovillo x 10 unidad</t>
  </si>
  <si>
    <t>Hilo choricero Bobina x 250 grs</t>
  </si>
  <si>
    <t>Bolsas de papel para 1 Baguette</t>
  </si>
  <si>
    <t xml:space="preserve">Kraft 85x120 Resma </t>
  </si>
  <si>
    <t>Bolsa varias</t>
  </si>
  <si>
    <t>Barbijos descartables x unid.</t>
  </si>
  <si>
    <t>Cofia Plisada</t>
  </si>
  <si>
    <t>Limpieza varias</t>
  </si>
  <si>
    <t>Alcohol en gel x bidon de 5 Lts</t>
  </si>
  <si>
    <t>Varios y librería</t>
  </si>
  <si>
    <t>Portarrollos Plástico para cinta Adhesiva</t>
  </si>
  <si>
    <t>Escarbadientes Blister x 12 x 50 unid</t>
  </si>
  <si>
    <t>Cuchara sundae a granel x 50 u</t>
  </si>
  <si>
    <t>Mayor</t>
  </si>
  <si>
    <t xml:space="preserve">                     solo en precios de contado, no así en precios mayor.</t>
  </si>
  <si>
    <t>Camiseta 30x40 Amarillita</t>
  </si>
  <si>
    <t>Camiseta 40x50 Bio Planeta color</t>
  </si>
  <si>
    <t>Potes termicos helado 1/2 kgs</t>
  </si>
  <si>
    <t>Potes termicos helado 1 kgs</t>
  </si>
  <si>
    <t>Folex 20x25 Alternativa</t>
  </si>
  <si>
    <t>Bolsas de residuos 45x60 x 30 u Ref</t>
  </si>
  <si>
    <t>Camiseta 40x50 color bio planeta</t>
  </si>
  <si>
    <t>Rollos de arranque x 500 grs panda verde</t>
  </si>
  <si>
    <t>Rollos de arranque x 1000 grs panda azul</t>
  </si>
  <si>
    <t>bolsa polipropileno 20x45 (PCP)</t>
  </si>
  <si>
    <t>Botella jugo 500 cc (T38)</t>
  </si>
  <si>
    <t>Tapa botella de vidrio 250/500</t>
  </si>
  <si>
    <t>Bolsa de papel N 3</t>
  </si>
  <si>
    <t>Bolsa de papel N 4</t>
  </si>
  <si>
    <t>Bolsa de papel N 6</t>
  </si>
  <si>
    <t>Bolsa de papel N 7</t>
  </si>
  <si>
    <t>Bolsas compactadora 80x100 Blanca</t>
  </si>
  <si>
    <t>Bolsas consorcio 60x90 blanca rendidor x 10</t>
  </si>
  <si>
    <t>Portapanchos</t>
  </si>
  <si>
    <t>Folex 20x25 Nefta (nuevo)</t>
  </si>
  <si>
    <t>Bolsas con cierre zipper</t>
  </si>
  <si>
    <t xml:space="preserve">bolsa 06x10 </t>
  </si>
  <si>
    <t>bolsa 15x20</t>
  </si>
  <si>
    <t>Bolsas poli con cierre adhesivo</t>
  </si>
  <si>
    <t>Sulfito mejorado blanco resma</t>
  </si>
  <si>
    <t>botella jugo 250 cc (T38)</t>
  </si>
  <si>
    <t xml:space="preserve">Varios otro proveedor </t>
  </si>
  <si>
    <t xml:space="preserve">bolsa 10x15 </t>
  </si>
  <si>
    <t>Film cutter box 30 cm Rolopac c/cuch</t>
  </si>
  <si>
    <t>IVA</t>
  </si>
  <si>
    <t>P final</t>
  </si>
  <si>
    <t>bolsa 20x30</t>
  </si>
  <si>
    <t>Camiseta 45x60 blanca Mundi max</t>
  </si>
  <si>
    <t>Vasos termicos 180 cc well cup</t>
  </si>
  <si>
    <t>Vasos termicos 240 cc well cup</t>
  </si>
  <si>
    <t>Tapa vasos termicos 180 cc/resp</t>
  </si>
  <si>
    <t>Tapa vasos termicos 240 cc/resp</t>
  </si>
  <si>
    <t>Tapa 180 cc c/pico</t>
  </si>
  <si>
    <t>Tapa 240 cc c/pico</t>
  </si>
  <si>
    <t>VASOS POLIPAPEL KRAF 240CC (8OZ)</t>
  </si>
  <si>
    <t>TAPA NEGRA CON PICO P/VASO 240CC (8OZ)</t>
  </si>
  <si>
    <t>VASOS POLIPAPEL COFEE 240CC (8OZ)</t>
  </si>
  <si>
    <t>VASOS POLIPAPEL KRAF 360CC (12OZ)</t>
  </si>
  <si>
    <t>TAPA NEGRA CON PICO P/VASO 360CC (12OZ)</t>
  </si>
  <si>
    <t>Bolsas de papel kraft Bs As</t>
  </si>
  <si>
    <t>Bolsas acuario blanco 22x10x30</t>
  </si>
  <si>
    <t>Bolsas acuario blanco 26x17x30</t>
  </si>
  <si>
    <t xml:space="preserve">Bolsas acuario madera 22x10x30 </t>
  </si>
  <si>
    <t>Bolsas acuario madera 26x10x30</t>
  </si>
  <si>
    <t>Bolsas acuario madera 30x12x41</t>
  </si>
  <si>
    <t>Walter</t>
  </si>
  <si>
    <t>Vimar</t>
  </si>
  <si>
    <t>Kofke</t>
  </si>
  <si>
    <t>Cani</t>
  </si>
  <si>
    <t>Carniceria Martin</t>
  </si>
  <si>
    <t>Burbujas</t>
  </si>
  <si>
    <t>Sergio</t>
  </si>
  <si>
    <t>Farmacia Angel</t>
  </si>
  <si>
    <t>Kelo</t>
  </si>
  <si>
    <t>Bolsas compactadora 80x110 x 10 u abasto</t>
  </si>
  <si>
    <t>Bolsas compactadora 80x110 x 10 u Reva</t>
  </si>
  <si>
    <t>Guantes polimundi</t>
  </si>
  <si>
    <t>Rollos Napoleon doble hoja c/precorte 25x400</t>
  </si>
  <si>
    <t>Bolsa de papel N 1</t>
  </si>
  <si>
    <t>PROMO 1 : en compra mayor a $ 100.000 descuento 10% en efectivo</t>
  </si>
  <si>
    <t>Bolsas polipropileno 10x15 c/solapa</t>
  </si>
  <si>
    <t>Bolsas polipropileno 15x20 c/solapa</t>
  </si>
  <si>
    <t>Materiales Ecológicas</t>
  </si>
  <si>
    <t>Film PVC INCA 30x600</t>
  </si>
  <si>
    <t>Film PVC INCA 38x600</t>
  </si>
  <si>
    <t>Cuchara madera grande x 50 u</t>
  </si>
  <si>
    <t>Cuchara madera chica x 50 u</t>
  </si>
  <si>
    <t>Agitadores café 11 cm madera x 100 u</t>
  </si>
  <si>
    <t>Tenedor y cuchillo bambu madera x 25 u</t>
  </si>
  <si>
    <t>Sorbetes papel ecologico colores x 25 u</t>
  </si>
  <si>
    <t>Sorbetes papel ecologico grueso x 25 u</t>
  </si>
  <si>
    <t>Bolsas de carbon papel 3 kgs impresas</t>
  </si>
  <si>
    <t>Bolsas de papel N 8</t>
  </si>
  <si>
    <t>Camiseta 30x40 blanca chiqui</t>
  </si>
  <si>
    <t>Camiseta 45x60 color La Eco</t>
  </si>
  <si>
    <t>Escarbadiestes x 500</t>
  </si>
  <si>
    <t>Camiseta 40x50 Nicolle negra 20 unid</t>
  </si>
  <si>
    <t>riñon botella</t>
  </si>
  <si>
    <t>Camiseta 40x50 negra</t>
  </si>
  <si>
    <t>Camiseta 40x50 chiqui blanca</t>
  </si>
  <si>
    <t>Guantes polietileno poli</t>
  </si>
  <si>
    <t>Bolsas papel Tras n 7</t>
  </si>
  <si>
    <t>Camiseta 20x30 edicion limitada</t>
  </si>
  <si>
    <t>Folex 25x35 Rolan</t>
  </si>
  <si>
    <t>Film 12" Inca 300mm</t>
  </si>
  <si>
    <t>Film 15" Inca 380mm</t>
  </si>
  <si>
    <t xml:space="preserve">Rollos de arranque x 1200 grs Estrella </t>
  </si>
  <si>
    <t>Camiseta 40x50 oxibio carita</t>
  </si>
  <si>
    <t>Folex 20x25 Nefta</t>
  </si>
  <si>
    <t>bolsa polipropileno 25x45 (PCP)</t>
  </si>
  <si>
    <t>Caja pizza PCP</t>
  </si>
  <si>
    <t>Bandejas 103 San Andres micro</t>
  </si>
  <si>
    <t>Bolsas de papel n 3 eco</t>
  </si>
  <si>
    <t>Rollos de arranque 15x20 eco</t>
  </si>
  <si>
    <t>Rollos de arranque x 1,1 kgs Papeleno</t>
  </si>
  <si>
    <t xml:space="preserve">Cucharas sundae Kovalplast </t>
  </si>
  <si>
    <t>Rollos de arranque x 1000 grs Mapsa eco</t>
  </si>
  <si>
    <t>folex 20x25 super fina x 1000 unid</t>
  </si>
  <si>
    <t>Rollos de arranque x 600 grs Papeleno</t>
  </si>
  <si>
    <t>Rollos de arranque x 1,1 kgs Papeleno 60x90</t>
  </si>
  <si>
    <t>Folex 20x25 Zuma x 500 grs</t>
  </si>
  <si>
    <t>Vasos 800 cc work</t>
  </si>
  <si>
    <t>Bolsas de residuos 45x60 x 30 u Nicol</t>
  </si>
  <si>
    <t>Bolsas consorcio 60x90 x 10 u Nicol</t>
  </si>
  <si>
    <t>Precios 28/09/2026</t>
  </si>
  <si>
    <t>Precios: 28/09/2026</t>
  </si>
  <si>
    <t>Servilleta 33x33 La Linda</t>
  </si>
  <si>
    <t xml:space="preserve">Servilletas 18x18 Eco Royal Eco </t>
  </si>
  <si>
    <t>Camiseta 30x40 La Naranjita</t>
  </si>
  <si>
    <t xml:space="preserve">Rollos de arranque 15x20 </t>
  </si>
  <si>
    <t>Rollos de arranque x 600 grs Mapsa 20x30</t>
  </si>
  <si>
    <t>Rollos de arranque x 600 grs Mapsa 25x35</t>
  </si>
  <si>
    <t>Rollos de arranque x 1100 grs 20x30</t>
  </si>
  <si>
    <t>Rollos de arranque x 1100 grs 25x35</t>
  </si>
  <si>
    <t>Rollos de arranque x 1100 grs 30x40</t>
  </si>
  <si>
    <t>Rollos de arranque x 1100 grs 40x50</t>
  </si>
  <si>
    <t>Rollos de arranque x 1100 grs 45x60</t>
  </si>
  <si>
    <t>Rollos de arranque x 1100 grs 50x70</t>
  </si>
  <si>
    <t>Rollos de arranque x 1100 grs 60x90</t>
  </si>
  <si>
    <t>Rollos de arranque x 1200 grs Estrella</t>
  </si>
  <si>
    <t>Camiseta 20x30 reforzada</t>
  </si>
  <si>
    <t>Camiseta 30x40 Naranjita</t>
  </si>
  <si>
    <t>Camiseta 40x50 Carita Oxo bio</t>
  </si>
  <si>
    <t>Camiseta 45x60 Chiqui Blanca</t>
  </si>
  <si>
    <t>Bolsas de residuos 45x60 x 20 u Nicol</t>
  </si>
  <si>
    <t>Otros:</t>
  </si>
  <si>
    <t>Despensa Odelia</t>
  </si>
  <si>
    <t>Codigo</t>
  </si>
  <si>
    <t>Proveedor</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</si>
  <si>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</si>
  <si>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</si>
  <si>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</si>
  <si>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</si>
  <si>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</si>
  <si>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</si>
  <si>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</si>
  <si>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</si>
  <si>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</si>
  <si>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</si>
  <si>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</si>
  <si>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</si>
  <si>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</si>
  <si>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</si>
  <si>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</si>
  <si>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</si>
  <si>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</si>
  <si>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</si>
  <si>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</si>
  <si>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</si>
  <si>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</si>
  <si>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</si>
  <si>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</si>
  <si>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</si>
  <si>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</si>
  <si>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</si>
  <si>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</si>
  <si>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</si>
  <si>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</si>
  <si>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</si>
  <si>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</si>
  <si>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</si>
  <si>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</si>
  <si>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</si>
  <si>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</si>
  <si>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</si>
  <si>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</si>
  <si>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</si>
  <si>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</si>
  <si>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</si>
  <si>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</si>
  <si>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</si>
  <si>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</si>
  <si>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</si>
  <si>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</si>
  <si>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</si>
  <si>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</si>
  <si>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</si>
  <si>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</si>
  <si>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</si>
  <si>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</si>
  <si>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</si>
  <si>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</si>
  <si>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</si>
  <si>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</si>
  <si>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</si>
  <si>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</si>
  <si>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</si>
  <si>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</si>
  <si>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</si>
  <si>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</si>
  <si>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Rollos de arranque x 600 grs 35x45</t>
  </si>
  <si>
    <t>0062</t>
  </si>
  <si>
    <t>bolsa polipropileno 10x30</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</si>
  <si>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</si>
  <si>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</si>
  <si>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</si>
  <si>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</si>
  <si>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</si>
  <si>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</si>
  <si>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</si>
  <si>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</si>
  <si>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</si>
  <si>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</si>
  <si>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</si>
  <si>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</si>
  <si>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</si>
  <si>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</si>
  <si>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</si>
  <si>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</si>
  <si>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</si>
  <si>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</si>
  <si>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</si>
  <si>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</si>
  <si>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</si>
  <si>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</si>
  <si>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</si>
  <si>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</si>
  <si>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</si>
  <si>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</si>
  <si>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</si>
  <si>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</si>
  <si>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</si>
  <si>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</si>
  <si>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</si>
  <si>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</si>
  <si>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</si>
  <si>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</si>
  <si>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</si>
  <si>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</si>
  <si>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</si>
  <si>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</si>
  <si>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</si>
  <si>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</si>
  <si>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</si>
  <si>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</si>
  <si>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</si>
  <si>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</si>
  <si>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</si>
  <si>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</si>
  <si>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</si>
  <si>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Postapanchos</t>
  </si>
  <si>
    <t>0110</t>
  </si>
  <si>
    <t>0111</t>
  </si>
  <si>
    <t>0112</t>
  </si>
  <si>
    <t>0113</t>
  </si>
  <si>
    <t>0114</t>
  </si>
  <si>
    <t>0115</t>
  </si>
  <si>
    <t>0116</t>
  </si>
  <si>
    <t>0117</t>
  </si>
  <si>
    <t>0118</t>
  </si>
  <si>
    <t>0119</t>
  </si>
  <si>
    <t>0120</t>
  </si>
  <si>
    <t>0121</t>
  </si>
  <si>
    <t>0122</t>
  </si>
  <si>
    <t>0123</t>
  </si>
  <si>
    <t>0124</t>
  </si>
  <si>
    <t>0125</t>
  </si>
  <si>
    <t>0126</t>
  </si>
  <si>
    <t>0127</t>
  </si>
  <si>
    <t>0128</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</si>
  <si>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</si>
  <si>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</si>
  <si>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</si>
  <si>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</si>
  <si>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</si>
  <si>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</si>
  <si>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</si>
  <si>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</si>
  <si>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</si>
  <si>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</si>
  <si>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</si>
  <si>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</si>
  <si>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</si>
  <si>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</si>
  <si>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</si>
  <si>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</si>
  <si>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</si>
  <si>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</si>
  <si>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</si>
  <si>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</si>
  <si>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</si>
  <si>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</si>
  <si>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</si>
  <si>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</si>
  <si>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Potes 250 grs con tapa MIEL</t>
  </si>
  <si>
    <t>Potes 500 grs con tapa MIEL</t>
  </si>
  <si>
    <t>0154</t>
  </si>
  <si>
    <t>0155</t>
  </si>
  <si>
    <t>0156</t>
  </si>
  <si>
    <t>Vasos 500 cc</t>
  </si>
  <si>
    <t>0157</t>
  </si>
  <si>
    <t>0158</t>
  </si>
  <si>
    <t>0159</t>
  </si>
  <si>
    <t>0160</t>
  </si>
  <si>
    <t>0161</t>
  </si>
  <si>
    <t>0162</t>
  </si>
  <si>
    <t>0163</t>
  </si>
  <si>
    <t>0164</t>
  </si>
  <si>
    <t>Servilletas 18x18 s/guarda</t>
  </si>
  <si>
    <t>Servilletas tisue papel</t>
  </si>
  <si>
    <t>0165</t>
  </si>
  <si>
    <t>0166</t>
  </si>
  <si>
    <t>0167</t>
  </si>
  <si>
    <t>0168</t>
  </si>
  <si>
    <t>0170</t>
  </si>
  <si>
    <t>0169</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</si>
  <si>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</si>
  <si>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</si>
  <si>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</si>
  <si>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</si>
  <si>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</si>
  <si>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</si>
  <si>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</si>
  <si>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</si>
  <si>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</si>
  <si>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</si>
  <si>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</si>
  <si>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</si>
  <si>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</si>
  <si>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</si>
  <si>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</si>
  <si>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</si>
  <si>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</si>
  <si>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</si>
  <si>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</si>
  <si>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</si>
  <si>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</si>
  <si>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</si>
  <si>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</si>
  <si>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</si>
  <si>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</si>
  <si>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</si>
  <si>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</si>
  <si>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</si>
  <si>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</si>
  <si>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</si>
  <si>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</si>
  <si>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</si>
  <si>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</si>
  <si>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</si>
  <si>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</si>
  <si>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</si>
  <si>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</si>
  <si>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</si>
  <si>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</si>
  <si>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</si>
  <si>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</si>
  <si>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</si>
  <si>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</si>
  <si>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</si>
  <si>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Potes de Helados plastricos 750 grs</t>
  </si>
  <si>
    <t>Hielera Negras grandes</t>
  </si>
  <si>
    <t>Hielera Negras chicas</t>
  </si>
  <si>
    <t>Copa de sidras</t>
  </si>
  <si>
    <t xml:space="preserve">Manteles plasticos </t>
  </si>
  <si>
    <t>Individuales papel x 200 u</t>
  </si>
  <si>
    <t>Blonda Calada 32 cm x 100 u</t>
  </si>
  <si>
    <t>Blonda Calada 21 cm x 100 u</t>
  </si>
  <si>
    <t>Palito Helado x 50 u</t>
  </si>
  <si>
    <t>Cajas de alfajores impresas media docena</t>
  </si>
  <si>
    <t>Cajas de alfajores impresas una docena</t>
  </si>
  <si>
    <t>Bolsas polipropilena con adhesivo 15x20</t>
  </si>
  <si>
    <t>Bolsas polipropileno con adhesivo 20x30</t>
  </si>
  <si>
    <t>Bandejas Aluminio P26</t>
  </si>
  <si>
    <t>Maletin pollo reforzado</t>
  </si>
  <si>
    <t>Caja sorpresa " Papa"</t>
  </si>
  <si>
    <t>Bandeja Plastica 5 Kgs</t>
  </si>
  <si>
    <t>Bandeja Plastica 3 Kgs</t>
  </si>
  <si>
    <t>Bolsas de papel 1 L</t>
  </si>
  <si>
    <t>Bolsas de papel 6 L</t>
  </si>
  <si>
    <t>Film PVC 100 mts con cuter 30 cm</t>
  </si>
  <si>
    <t>Molde pan dulce 700 grs</t>
  </si>
  <si>
    <t>LINEA ECO BIO MADERAS</t>
  </si>
  <si>
    <t>Cuchara chicas x 50 u</t>
  </si>
  <si>
    <t>Cuchara Grande x 50 u</t>
  </si>
  <si>
    <t>Tenedores madera</t>
  </si>
  <si>
    <t>Cuchillos madera</t>
  </si>
  <si>
    <t>Agitadores madera</t>
  </si>
  <si>
    <t>Sorbete grandes x 100 u</t>
  </si>
  <si>
    <t>Sorbete chicos x 100 u</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</si>
  <si>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</si>
  <si>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</si>
  <si>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</si>
  <si>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</si>
  <si>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</si>
  <si>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</si>
  <si>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</si>
  <si>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</si>
  <si>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</si>
  <si>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</si>
  <si>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</si>
  <si>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</si>
  <si>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</si>
  <si>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</si>
  <si>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</si>
  <si>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</si>
  <si>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</si>
  <si>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</si>
  <si>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</si>
  <si>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</si>
  <si>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</si>
  <si>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</si>
  <si>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</si>
  <si>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</si>
  <si>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</si>
  <si>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</si>
  <si>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</si>
  <si>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</si>
  <si>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</si>
  <si>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Camiseta 45x60 Blanca Std</t>
  </si>
  <si>
    <t>Bolsas de leña 40x70 x 50 u</t>
  </si>
  <si>
    <t>Descripcion</t>
  </si>
  <si>
    <t>Rollos de arranque plastico, por unidad es la cantidad</t>
  </si>
  <si>
    <t>Camiseta plástica, en este caso es por paquete</t>
  </si>
  <si>
    <t>Lamina Para fiambre por paquete</t>
  </si>
  <si>
    <t>Bolsas para residuos distintos tipo, se cuenta por paquete</t>
  </si>
  <si>
    <t>Bolsas para leña, el paquete viene por 50 unidad, por paquete</t>
  </si>
  <si>
    <t>Bolsas ára horno o friser el paquete es por 10 unidad, por paquete</t>
  </si>
  <si>
    <t>Por unidad, el bulto viene por 10 paquetes, pero se considera por paquete</t>
  </si>
  <si>
    <t>Por 100 unidades cada paquete se considera por paquete</t>
  </si>
  <si>
    <t>El paquete viene por 50 unidades, se cuenta por paquete</t>
  </si>
  <si>
    <t>Por unidad</t>
  </si>
  <si>
    <t>El paquete viene por 100 unidad, se considera x paquete</t>
  </si>
  <si>
    <t>Se considera por kilogramos, se cuenta los kilos</t>
  </si>
  <si>
    <t>por unidad</t>
  </si>
  <si>
    <t>por caja</t>
  </si>
  <si>
    <t>Por unidad o paquete</t>
  </si>
  <si>
    <t>El paquete viene por 1000 unidades, se toma el paquete</t>
  </si>
  <si>
    <t>Zuma</t>
  </si>
  <si>
    <t>PCP</t>
  </si>
  <si>
    <t>Zuma/PCP</t>
  </si>
  <si>
    <t>Theiler</t>
  </si>
  <si>
    <t>Vasa</t>
  </si>
  <si>
    <t>ML</t>
  </si>
  <si>
    <t>Proveedores: Zuma: ZumaPlast, PCP: Papelera Carlos Paz, Theiler, Vasa, ML: Mercado Libre.</t>
  </si>
  <si>
    <t>Total compra</t>
  </si>
  <si>
    <t xml:space="preserve">Camiseta 45x60 blanca STD </t>
  </si>
  <si>
    <t xml:space="preserve">Escarbadientes x 500 </t>
  </si>
  <si>
    <t>Cod Proveedor</t>
  </si>
  <si>
    <t>BK1</t>
  </si>
  <si>
    <t>BK3</t>
  </si>
  <si>
    <t>BK4</t>
  </si>
  <si>
    <t>BK6</t>
  </si>
  <si>
    <t>BK7</t>
  </si>
  <si>
    <t>BK8</t>
  </si>
  <si>
    <t>pps1520</t>
  </si>
  <si>
    <t>pps2030</t>
  </si>
  <si>
    <t>BK1L</t>
  </si>
  <si>
    <t>BK6L</t>
  </si>
  <si>
    <t>DES</t>
  </si>
  <si>
    <t>DE11</t>
  </si>
  <si>
    <t>Cliente:</t>
  </si>
  <si>
    <t>Agosto</t>
  </si>
  <si>
    <t>Septiembre</t>
  </si>
  <si>
    <t>Octubre</t>
  </si>
  <si>
    <t>0244</t>
  </si>
  <si>
    <t>Los Troncos</t>
  </si>
  <si>
    <t>Distribuidora Sofia</t>
  </si>
  <si>
    <t>Despensa Bruno</t>
  </si>
  <si>
    <t>Panaderia La Nueva</t>
  </si>
  <si>
    <t>Romina</t>
  </si>
  <si>
    <t>Gustavo Sosa</t>
  </si>
  <si>
    <t>Comuna San Lorenzo</t>
  </si>
  <si>
    <t>Rodrigo Heredia</t>
  </si>
  <si>
    <t>Lau Paredes</t>
  </si>
  <si>
    <t>Carniceria Santa Lucia</t>
  </si>
  <si>
    <t>Iris</t>
  </si>
  <si>
    <t>Farmacia Cooperativa</t>
  </si>
  <si>
    <t>Adriana Zamora</t>
  </si>
  <si>
    <t>Monica Genta</t>
  </si>
  <si>
    <t>Cecilia</t>
  </si>
  <si>
    <t>Carniceria La Nueva</t>
  </si>
  <si>
    <t>Polleria Martita</t>
  </si>
  <si>
    <t>Despensa Carlitos</t>
  </si>
  <si>
    <t>Romanos</t>
  </si>
  <si>
    <t>Minimarket</t>
  </si>
  <si>
    <t>Mary Zamora</t>
  </si>
  <si>
    <t>Kuky</t>
  </si>
  <si>
    <t>Vero</t>
  </si>
  <si>
    <t>Vito</t>
  </si>
  <si>
    <t>Sofia</t>
  </si>
  <si>
    <t>Lorena</t>
  </si>
  <si>
    <t>Miguel</t>
  </si>
  <si>
    <t>Maricel Genta</t>
  </si>
  <si>
    <t>Mario Genta</t>
  </si>
  <si>
    <t>Hotel</t>
  </si>
  <si>
    <t>Rollos de arranque x 600 grs Poli 30x40</t>
  </si>
  <si>
    <t>Arranque 40x50 x 600 grs Poli</t>
  </si>
  <si>
    <t>0245</t>
  </si>
  <si>
    <t>0246</t>
  </si>
  <si>
    <t xml:space="preserve">Arranque 20x25 rendidor </t>
  </si>
  <si>
    <t>0247</t>
  </si>
  <si>
    <t>0248</t>
  </si>
  <si>
    <t>Camisetas 40x50 color Chris</t>
  </si>
  <si>
    <t>Pedido</t>
  </si>
  <si>
    <t>Fecha: 05/10/26</t>
  </si>
  <si>
    <t>Productos</t>
  </si>
  <si>
    <t>Cantidad</t>
  </si>
  <si>
    <t>Bolsas compactadora 80x110 x 10 unidades</t>
  </si>
  <si>
    <t>Bolsas consorcio 60x90 x 10 unidades</t>
  </si>
  <si>
    <t>Bolsas residuos 45x60 x 10 unidades</t>
  </si>
  <si>
    <t>Arranque 25x35 Mapsa x 6 unidades</t>
  </si>
  <si>
    <t>Arranque 50x70 Mapsa x 6 unidades</t>
  </si>
  <si>
    <t>Arranque 15x20 Rolan x 12 unidades</t>
  </si>
  <si>
    <t>Emblocadas 20x30 x 1000 unidades</t>
  </si>
  <si>
    <t>Emblocadas 40x50 x 1000 unidades</t>
  </si>
  <si>
    <t>Camisetas 40x50 negras</t>
  </si>
  <si>
    <t>Camisetas 40x50 Blancas</t>
  </si>
  <si>
    <t>Camisetas 30x40 Blancas</t>
  </si>
  <si>
    <t>Camisetas 45x60 Blancas</t>
  </si>
  <si>
    <t>Bandejas carton N 2 x 100 unidades</t>
  </si>
  <si>
    <t>Polipropileno 15x20 x 100 unidades</t>
  </si>
  <si>
    <t>Polipropileno 10x15 x 100 unidades</t>
  </si>
  <si>
    <t>Film PVC x 600 mts 15 "</t>
  </si>
  <si>
    <t>Resma de papel copsi x 10 kgs 40 cm</t>
  </si>
  <si>
    <t>vasos 180 cc works</t>
  </si>
  <si>
    <t>Obleas 618 M</t>
  </si>
  <si>
    <t>Walter ID: 01</t>
  </si>
  <si>
    <t>Los Troncos ID: 02</t>
  </si>
  <si>
    <t>El Paso Brochero ID: 03</t>
  </si>
  <si>
    <t>El paso Mina ID: 04</t>
  </si>
  <si>
    <t>Distribuidora Sofia ID: 05</t>
  </si>
  <si>
    <t>Despensa Bruno ID: 06</t>
  </si>
  <si>
    <t>Panaderia La Nueva ID: 07</t>
  </si>
  <si>
    <t>Romina ID: 08</t>
  </si>
  <si>
    <t>Gustavo Sosa ID: 09</t>
  </si>
  <si>
    <t>Comuna San Lorenzo ID: 10</t>
  </si>
  <si>
    <t>Rodrigo Heredia ID: 11</t>
  </si>
  <si>
    <t>Lau Paredes ID: 12</t>
  </si>
  <si>
    <t>Carniceria Santa Lucia ID: 13</t>
  </si>
  <si>
    <t>Iris ID: 14</t>
  </si>
  <si>
    <t>Vimar ID: 15</t>
  </si>
  <si>
    <t>Cani ID: 16</t>
  </si>
  <si>
    <t>Kofke ID: 17</t>
  </si>
  <si>
    <t>Carniceria Martin ID: 18</t>
  </si>
  <si>
    <t>Sergio ID: 19</t>
  </si>
  <si>
    <t>Burbujas ID: 20</t>
  </si>
  <si>
    <t>Farmacia Angel ID: 21</t>
  </si>
  <si>
    <t>Farmacia Cooperativa ID: 22</t>
  </si>
  <si>
    <t>Adriana Zamora ID: 23</t>
  </si>
  <si>
    <t>Monica Genta ID: 24</t>
  </si>
  <si>
    <t>Cecilia ID: 25</t>
  </si>
  <si>
    <t>Carniceria La Nueva ID: 26</t>
  </si>
  <si>
    <t>Polleria Martita ID: 27</t>
  </si>
  <si>
    <t>Despensa Carlitos ID: 28</t>
  </si>
  <si>
    <t>Despensa San Cayetano ID: 29</t>
  </si>
  <si>
    <t>Maria San Carlos ID: 30</t>
  </si>
  <si>
    <t>Romanos ID: 31</t>
  </si>
  <si>
    <t>Panaderia Meli ID: 32</t>
  </si>
  <si>
    <t>Kelo ID: 33</t>
  </si>
  <si>
    <t>Minimarket ID: 34</t>
  </si>
  <si>
    <t>Despensa Odelia ID: 35</t>
  </si>
  <si>
    <t>Mary Zamora ID: 36</t>
  </si>
  <si>
    <t>Kuky ID: 37</t>
  </si>
  <si>
    <t>Vero ID: 38</t>
  </si>
  <si>
    <t>Vito ID: 39</t>
  </si>
  <si>
    <t>Mabel San Carlos ID: 40</t>
  </si>
  <si>
    <t>Sofia ID: 41</t>
  </si>
  <si>
    <t>Lorena ID: 42</t>
  </si>
  <si>
    <t>Miguel ID: 43</t>
  </si>
  <si>
    <t>Maricel Genta ID: 44</t>
  </si>
  <si>
    <t>Mario Genta ID: 45</t>
  </si>
  <si>
    <t>Hotel ID: 46</t>
  </si>
  <si>
    <t>Bar Iguana ID: 47</t>
  </si>
  <si>
    <t>Alberto Salsacate ID: 48</t>
  </si>
  <si>
    <t>Varios ID: 49</t>
  </si>
  <si>
    <t>Cliente</t>
  </si>
  <si>
    <t>ID</t>
  </si>
  <si>
    <t>001</t>
  </si>
  <si>
    <t>El Paso ( Brochero)</t>
  </si>
  <si>
    <t>002</t>
  </si>
  <si>
    <t>003</t>
  </si>
  <si>
    <t>Localidad</t>
  </si>
  <si>
    <t>Brochero</t>
  </si>
  <si>
    <t>Mina Clavero</t>
  </si>
  <si>
    <t>El Paso (Mina Clavero)</t>
  </si>
  <si>
    <t>004</t>
  </si>
  <si>
    <t>005</t>
  </si>
  <si>
    <t>006</t>
  </si>
  <si>
    <t>009</t>
  </si>
  <si>
    <t>019</t>
  </si>
  <si>
    <t>011</t>
  </si>
  <si>
    <t>017</t>
  </si>
  <si>
    <t>008</t>
  </si>
  <si>
    <t>014</t>
  </si>
  <si>
    <t>012</t>
  </si>
  <si>
    <t>San Lorenzo</t>
  </si>
  <si>
    <t>007</t>
  </si>
  <si>
    <t>010</t>
  </si>
  <si>
    <t>020</t>
  </si>
  <si>
    <t>040</t>
  </si>
  <si>
    <t>050</t>
  </si>
  <si>
    <t>022</t>
  </si>
  <si>
    <t>044</t>
  </si>
  <si>
    <t>San Carlos Minas</t>
  </si>
  <si>
    <t>036</t>
  </si>
  <si>
    <t>013</t>
  </si>
  <si>
    <t>018</t>
  </si>
  <si>
    <t>045</t>
  </si>
  <si>
    <t>Las Palmas</t>
  </si>
  <si>
    <t>023</t>
  </si>
  <si>
    <t>043</t>
  </si>
  <si>
    <t>Salsacate</t>
  </si>
  <si>
    <t>034</t>
  </si>
  <si>
    <t>015</t>
  </si>
  <si>
    <t>016</t>
  </si>
  <si>
    <t>021</t>
  </si>
  <si>
    <t>024</t>
  </si>
  <si>
    <t>025</t>
  </si>
  <si>
    <t>026</t>
  </si>
  <si>
    <t>027</t>
  </si>
  <si>
    <t>028</t>
  </si>
  <si>
    <t>029</t>
  </si>
  <si>
    <t>030</t>
  </si>
  <si>
    <t>031</t>
  </si>
  <si>
    <t>032</t>
  </si>
  <si>
    <t>033</t>
  </si>
  <si>
    <t>035</t>
  </si>
  <si>
    <t>037</t>
  </si>
  <si>
    <t>038</t>
  </si>
  <si>
    <t>039</t>
  </si>
  <si>
    <t>041</t>
  </si>
  <si>
    <t>042</t>
  </si>
  <si>
    <t>046</t>
  </si>
  <si>
    <t>047</t>
  </si>
  <si>
    <t>048</t>
  </si>
  <si>
    <t>049</t>
  </si>
  <si>
    <t>Despensa San cayetano</t>
  </si>
  <si>
    <t>Maria</t>
  </si>
  <si>
    <t>Panaderia Melina</t>
  </si>
  <si>
    <t>Mabel</t>
  </si>
  <si>
    <t>Bar Iguana</t>
  </si>
  <si>
    <t>Alberto</t>
  </si>
  <si>
    <t>Juan Gabiel</t>
  </si>
  <si>
    <t>Arroyo de Los Patos</t>
  </si>
  <si>
    <t>El Pirata</t>
  </si>
  <si>
    <t>Deudas</t>
  </si>
  <si>
    <t>Fecha</t>
  </si>
  <si>
    <t>ID Cliente</t>
  </si>
  <si>
    <t>Importe Total</t>
  </si>
  <si>
    <t>Cant Fact</t>
  </si>
  <si>
    <t>Fecha ult.pago</t>
  </si>
  <si>
    <t>Pago Parcial</t>
  </si>
  <si>
    <t>Saldo Pend</t>
  </si>
  <si>
    <t>Dias de atraso</t>
  </si>
  <si>
    <t>Estado</t>
  </si>
  <si>
    <t>El Paso (Brochero)</t>
  </si>
  <si>
    <t>San Calos Minas</t>
  </si>
  <si>
    <t>Juan Gabriel</t>
  </si>
  <si>
    <t>Arroyo de los Patos</t>
  </si>
  <si>
    <t>Mauro</t>
  </si>
  <si>
    <t>051</t>
  </si>
  <si>
    <t>WhatsApp</t>
  </si>
  <si>
    <t>Punto 11</t>
  </si>
  <si>
    <t>052</t>
  </si>
  <si>
    <t>+54 9 3544 44-1338</t>
  </si>
  <si>
    <t>+54 9 3544 44-1373</t>
  </si>
  <si>
    <t>+54 9 3544 44-1383</t>
  </si>
  <si>
    <t>+54 9 3544 44-1387</t>
  </si>
  <si>
    <t>+54 9 3544 54-3592</t>
  </si>
  <si>
    <t>+54 9 3544 65-4320</t>
  </si>
  <si>
    <t>+54 9 3544 50-6047</t>
  </si>
  <si>
    <t>+54 9 3544 46-7980</t>
  </si>
  <si>
    <t>+54 9 3544 64-4382</t>
  </si>
  <si>
    <t>+54 9 3544 50-7187</t>
  </si>
  <si>
    <t>+54 9 3542 62-0417</t>
  </si>
  <si>
    <t>+54 9 3542 46-0080</t>
  </si>
  <si>
    <t>+54 9 3542 58-6239</t>
  </si>
  <si>
    <t>+54 9 3542 62-0205</t>
  </si>
  <si>
    <t>+54 9 3542 62-0204</t>
  </si>
  <si>
    <t>+54 9 3542 46-0096</t>
  </si>
  <si>
    <t>+54 9 3542 62-0619</t>
  </si>
  <si>
    <t>+54 9 3542 61-9666</t>
  </si>
  <si>
    <t>+54 9 3542 41-4319</t>
  </si>
  <si>
    <t>+54 9 351 398-4650</t>
  </si>
  <si>
    <t>+54 9 351 374-8629</t>
  </si>
  <si>
    <t>+54 9 3542 46-1066</t>
  </si>
  <si>
    <t>Tienda</t>
  </si>
  <si>
    <t>+54 9 3542 62-0766</t>
  </si>
  <si>
    <t>+54 9 3544 53-6289</t>
  </si>
  <si>
    <t>Enrique</t>
  </si>
  <si>
    <t>053</t>
  </si>
  <si>
    <t>+54 9 3542 46-0950</t>
  </si>
  <si>
    <t>+54 9 3542 61-9973</t>
  </si>
  <si>
    <t>+54 9 3544 43-1581</t>
  </si>
  <si>
    <t>+54 9 3544 63-6560</t>
  </si>
  <si>
    <t>Mauro Panaderia</t>
  </si>
  <si>
    <t>054</t>
  </si>
  <si>
    <t>+54 9 3544 63-4164</t>
  </si>
  <si>
    <t>+54 9 3542 61-9105</t>
  </si>
  <si>
    <t>+54 9 3544 43-1103</t>
  </si>
  <si>
    <t>+54 9 3544 54-4876</t>
  </si>
  <si>
    <t>+54 9 3544 68-7874</t>
  </si>
  <si>
    <t>Patricia</t>
  </si>
  <si>
    <t>055</t>
  </si>
  <si>
    <t>+54 9 3542 48-0201</t>
  </si>
  <si>
    <t>+54 9 3542 41-2348</t>
  </si>
  <si>
    <t>+54 9 3544 41-5901</t>
  </si>
  <si>
    <t>Natacha</t>
  </si>
  <si>
    <t>056</t>
  </si>
  <si>
    <t>Los Hornillos</t>
  </si>
  <si>
    <t>+54 9 11 6266-8259</t>
  </si>
  <si>
    <t>+54 9 3542 41-2999</t>
  </si>
  <si>
    <t>+54 9 3542 46-0592</t>
  </si>
  <si>
    <t>+54 9 351 372-3053</t>
  </si>
  <si>
    <t>+54 9 3542 41-3175</t>
  </si>
  <si>
    <t>+54 9 3542 48-0288</t>
  </si>
  <si>
    <t>+54 9 3542 61-9908</t>
  </si>
  <si>
    <t>+54 9 3544 59-3636</t>
  </si>
  <si>
    <t>+54 9 11 5729-6068</t>
  </si>
  <si>
    <t>+54 9 3542 62-0370</t>
  </si>
  <si>
    <t>+54 9 3544 54-3037</t>
  </si>
  <si>
    <t>+54 9 3542 48-0771</t>
  </si>
  <si>
    <t>Club San Lorenzo</t>
  </si>
  <si>
    <t>057</t>
  </si>
  <si>
    <t>+54 9 351 652-4091</t>
  </si>
  <si>
    <t>Andrea Cueva del Indio</t>
  </si>
  <si>
    <t>058</t>
  </si>
  <si>
    <t>+54 9 3544 63-8898</t>
  </si>
  <si>
    <t>+54 9 3542 48-0732</t>
  </si>
  <si>
    <t>+54 9 3544 59-3404</t>
  </si>
  <si>
    <t>+54 9 3542 41-3023</t>
  </si>
  <si>
    <t>Camisetas 40x50 Color Chris</t>
  </si>
  <si>
    <t>Bolsas Camisetas 40x50 Chris 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</si>
</sst>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_ &quot;$&quot;\ * #,##0.00_ ;_ &quot;$&quot;\ * \-#,##0.00_ ;_ &quot;$&quot;\ * &quot;-&quot;??_ ;_ @_ "/>
    <numFmt numFmtId="165" formatCode="0.000"/>
    <numFmt numFmtId="166" formatCode="&quot;$&quot;\ #,##0.00"/>
  </numFmts>
  <fonts count="26" x14ac:knownFonts="1">
    <font>
      <sz val="10"/>
      <name val="Arial"/>
    </font>
    <font>
      <sz val="10"/>
      <name val="Arial"/>
    </font>
    <font>
      <sz val="8"/>
      <name val="Arial"/>
      <family val="2"/>
    </font>
    <font>
      <b/>
      <i/>
      <sz val="12"/>
      <name val="Arial"/>
      <family val="2"/>
    </font>
    <font>
      <b/>
      <i/>
      <sz val="10"/>
      <name val="Arial"/>
      <family val="2"/>
    </font>
    <font>
      <sz val="10"/>
      <name val="Arial"/>
      <family val="2"/>
    </font>
    <font>
      <b/>
      <sz val="14"/>
      <name val="Arial"/>
      <family val="2"/>
    </font>
    <font>
      <u/>
      <sz val="10"/>
      <color indexed="12"/>
      <name val="Arial"/>
      <family val="2"/>
    </font>
    <font>
      <sz val="12"/>
      <name val="Arial"/>
      <family val="2"/>
    </font>
    <font>
      <sz val="12"/>
      <color indexed="12"/>
      <name val="Arial"/>
      <family val="2"/>
    </font>
    <font>
      <sz val="10"/>
      <color indexed="12"/>
      <name val="Arial"/>
      <family val="2"/>
    </font>
    <font>
      <b/>
      <i/>
      <sz val="12"/>
      <color indexed="12"/>
      <name val="Arial"/>
      <family val="2"/>
    </font>
    <font>
      <sz val="14"/>
      <name val="Arial"/>
      <family val="2"/>
    </font>
    <font>
      <b/>
      <sz val="10"/>
      <name val="Arial"/>
      <family val="2"/>
    </font>
    <font>
      <sz val="14"/>
      <color indexed="56"/>
      <name val="Arial"/>
      <family val="2"/>
    </font>
    <font>
      <sz val="10"/>
      <name val="Arial"/>
    </font>
    <font>
      <sz val="12"/>
      <color indexed="56"/>
      <name val="Arial"/>
      <family val="2"/>
    </font>
    <font>
      <sz val="8"/>
      <name val="Arial"/>
    </font>
    <font>
      <sz val="14"/>
      <color rgb="FF002060"/>
      <name val="Arial"/>
      <family val="2"/>
    </font>
    <font>
      <sz val="12"/>
      <color rgb="FF002060"/>
      <name val="Arial"/>
      <family val="2"/>
    </font>
    <font>
      <sz val="10"/>
      <color rgb="FF002060"/>
      <name val="Arial"/>
      <family val="2"/>
    </font>
    <font>
      <b/>
      <sz val="12"/>
      <color rgb="FF002060"/>
      <name val="Arial"/>
      <family val="2"/>
    </font>
    <font>
      <b/>
      <sz val="14"/>
      <color rgb="FF002060"/>
      <name val="Arial"/>
      <family val="2"/>
    </font>
    <font>
      <b/>
      <i/>
      <sz val="14"/>
      <color rgb="FF002060"/>
      <name val="Arial"/>
      <family val="2"/>
    </font>
    <font>
      <b/>
      <i/>
      <sz val="12"/>
      <color rgb="FF002060"/>
      <name val="Arial"/>
      <family val="2"/>
    </font>
    <font>
      <sz val="10"/>
      <color theme="1"/>
      <name val="Arial"/>
      <family val="2"/>
    </font>
  </fonts>
  <fills count="12">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
      <patternFill patternType="solid">
        <fgColor rgb="FFCCFFCC"/>
        <bgColor indexed="64"/>
      </patternFill>
    </fill>
    <fill>
      <patternFill patternType="solid">
        <fgColor rgb="FFFFFF9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8"/>
      </left>
      <right/>
      <top style="medium">
        <color indexed="8"/>
      </top>
      <bottom/>
      <diagonal/>
    </border>
    <border>
      <left/>
      <right/>
      <top style="medium">
        <color indexed="8"/>
      </top>
      <bottom/>
      <diagonal/>
    </border>
    <border>
      <left style="medium">
        <color indexed="8"/>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7" fillId="0" borderId="0" applyNumberFormat="0" applyFill="0" applyBorder="0" applyAlignment="0" applyProtection="0">
      <alignment vertical="top"/>
      <protection locked="0"/>
    </xf>
    <xf numFmtId="164" fontId="1" fillId="0" borderId="0" applyFont="0" applyFill="0" applyBorder="0" applyAlignment="0" applyProtection="0"/>
    <xf numFmtId="9" fontId="1" fillId="0" borderId="0" applyFont="0" applyFill="0" applyBorder="0" applyAlignment="0" applyProtection="0"/>
  </cellStyleXfs>
  <cellXfs count="214">
    <xf numFmtId="0" fontId="0" fillId="0" borderId="0" xfId="0"/>
    <xf numFmtId="165" fontId="0" fillId="0" borderId="1" xfId="0" applyNumberFormat="1" applyBorder="1"/>
    <xf numFmtId="0" fontId="8" fillId="0" borderId="0" xfId="0" applyFont="1"/>
    <xf numFmtId="0" fontId="0" fillId="2" borderId="0" xfId="0" applyFill="1"/>
    <xf numFmtId="0" fontId="9" fillId="0" borderId="0" xfId="0" applyFont="1"/>
    <xf numFmtId="0" fontId="10" fillId="0" borderId="0" xfId="0" applyFont="1"/>
    <xf numFmtId="2" fontId="9" fillId="0" borderId="0" xfId="0" applyNumberFormat="1" applyFont="1"/>
    <xf numFmtId="165" fontId="9" fillId="0" borderId="0" xfId="0" applyNumberFormat="1" applyFont="1"/>
    <xf numFmtId="0" fontId="0" fillId="0" borderId="1" xfId="0" applyBorder="1"/>
    <xf numFmtId="0" fontId="18" fillId="0" borderId="1" xfId="0" applyFont="1" applyBorder="1"/>
    <xf numFmtId="0" fontId="19" fillId="0" borderId="0" xfId="0" applyFont="1"/>
    <xf numFmtId="0" fontId="20" fillId="2" borderId="0" xfId="0" applyFont="1" applyFill="1"/>
    <xf numFmtId="0" fontId="20" fillId="0" borderId="0" xfId="0" applyFont="1"/>
    <xf numFmtId="0" fontId="20" fillId="3" borderId="1" xfId="0" applyFont="1" applyFill="1" applyBorder="1"/>
    <xf numFmtId="0" fontId="19" fillId="0" borderId="1" xfId="0" applyFont="1" applyBorder="1"/>
    <xf numFmtId="0" fontId="19" fillId="0" borderId="1" xfId="0" applyFont="1" applyBorder="1" applyAlignment="1">
      <alignment horizontal="right"/>
    </xf>
    <xf numFmtId="0" fontId="19" fillId="2" borderId="1" xfId="0" applyFont="1" applyFill="1" applyBorder="1"/>
    <xf numFmtId="2" fontId="19" fillId="2" borderId="1" xfId="0" applyNumberFormat="1" applyFont="1" applyFill="1" applyBorder="1"/>
    <xf numFmtId="1" fontId="19" fillId="2" borderId="1" xfId="0" applyNumberFormat="1" applyFont="1" applyFill="1" applyBorder="1"/>
    <xf numFmtId="0" fontId="21" fillId="2" borderId="1" xfId="0" applyFont="1" applyFill="1" applyBorder="1"/>
    <xf numFmtId="0" fontId="19" fillId="0" borderId="2" xfId="0" applyFont="1" applyBorder="1"/>
    <xf numFmtId="0" fontId="19" fillId="4" borderId="1" xfId="0" applyFont="1" applyFill="1" applyBorder="1"/>
    <xf numFmtId="0" fontId="19" fillId="4" borderId="1" xfId="0" applyFont="1" applyFill="1" applyBorder="1" applyAlignment="1">
      <alignment horizontal="right"/>
    </xf>
    <xf numFmtId="0" fontId="20" fillId="0" borderId="1" xfId="0" applyFont="1" applyBorder="1"/>
    <xf numFmtId="0" fontId="19" fillId="0" borderId="3" xfId="0" applyFont="1" applyBorder="1"/>
    <xf numFmtId="0" fontId="19" fillId="2" borderId="3" xfId="0" applyFont="1" applyFill="1" applyBorder="1"/>
    <xf numFmtId="0" fontId="18" fillId="5" borderId="0" xfId="0" applyFont="1" applyFill="1"/>
    <xf numFmtId="0" fontId="18" fillId="5" borderId="1" xfId="0" applyFont="1" applyFill="1" applyBorder="1"/>
    <xf numFmtId="0" fontId="12" fillId="5" borderId="0" xfId="0" applyFont="1" applyFill="1"/>
    <xf numFmtId="0" fontId="22" fillId="6" borderId="1" xfId="0" applyFont="1" applyFill="1" applyBorder="1"/>
    <xf numFmtId="0" fontId="6" fillId="6" borderId="1" xfId="0" applyFont="1" applyFill="1" applyBorder="1"/>
    <xf numFmtId="0" fontId="18" fillId="5" borderId="3" xfId="0" applyFont="1" applyFill="1" applyBorder="1"/>
    <xf numFmtId="0" fontId="22" fillId="6" borderId="3" xfId="0" applyFont="1" applyFill="1" applyBorder="1"/>
    <xf numFmtId="0" fontId="13" fillId="0" borderId="0" xfId="0" applyFont="1" applyAlignment="1">
      <alignment vertical="top" wrapText="1"/>
    </xf>
    <xf numFmtId="0" fontId="0" fillId="0" borderId="0" xfId="0"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13" fillId="0" borderId="0" xfId="0" applyFont="1" applyAlignment="1">
      <alignment horizontal="center" vertical="top" wrapText="1"/>
    </xf>
    <xf numFmtId="0" fontId="0" fillId="0" borderId="0" xfId="0" applyAlignment="1">
      <alignment horizontal="center" vertical="top" wrapText="1"/>
    </xf>
    <xf numFmtId="0" fontId="0" fillId="0" borderId="5" xfId="0" applyBorder="1" applyAlignment="1">
      <alignment horizontal="center" vertical="top" wrapText="1"/>
    </xf>
    <xf numFmtId="0" fontId="0" fillId="0" borderId="10" xfId="0" applyBorder="1" applyAlignment="1">
      <alignment horizontal="center" vertical="top" wrapText="1"/>
    </xf>
    <xf numFmtId="0" fontId="0" fillId="0" borderId="7" xfId="0" applyBorder="1" applyAlignment="1">
      <alignment horizontal="center" vertical="top" wrapText="1"/>
    </xf>
    <xf numFmtId="0" fontId="7" fillId="0" borderId="7" xfId="1" quotePrefix="1" applyNumberFormat="1" applyBorder="1" applyAlignment="1" applyProtection="1">
      <alignment horizontal="center" vertical="top" wrapText="1"/>
    </xf>
    <xf numFmtId="0" fontId="0" fillId="0" borderId="11" xfId="0" applyBorder="1" applyAlignment="1">
      <alignment horizontal="center" vertical="top" wrapText="1"/>
    </xf>
    <xf numFmtId="0" fontId="0" fillId="0" borderId="9" xfId="0" applyBorder="1" applyAlignment="1">
      <alignment horizontal="center" vertical="top" wrapText="1"/>
    </xf>
    <xf numFmtId="0" fontId="0" fillId="0" borderId="12" xfId="0" applyBorder="1" applyAlignment="1">
      <alignment horizontal="center" vertical="top" wrapText="1"/>
    </xf>
    <xf numFmtId="0" fontId="20" fillId="0" borderId="3" xfId="0" applyFont="1" applyBorder="1"/>
    <xf numFmtId="2" fontId="19" fillId="0" borderId="1" xfId="0" applyNumberFormat="1" applyFont="1" applyBorder="1"/>
    <xf numFmtId="0" fontId="11" fillId="0" borderId="0" xfId="0" applyFont="1" applyAlignment="1">
      <alignment horizontal="center"/>
    </xf>
    <xf numFmtId="0" fontId="18" fillId="0" borderId="13" xfId="0" applyFont="1" applyBorder="1"/>
    <xf numFmtId="0" fontId="18" fillId="0" borderId="3" xfId="0" applyFont="1" applyBorder="1"/>
    <xf numFmtId="0" fontId="18" fillId="0" borderId="0" xfId="0" applyFont="1"/>
    <xf numFmtId="0" fontId="9" fillId="0" borderId="0" xfId="0" applyFont="1" applyAlignment="1">
      <alignment horizontal="right"/>
    </xf>
    <xf numFmtId="0" fontId="18" fillId="0" borderId="14" xfId="0" applyFont="1" applyBorder="1"/>
    <xf numFmtId="165" fontId="9" fillId="0" borderId="3" xfId="0" applyNumberFormat="1" applyFont="1" applyBorder="1"/>
    <xf numFmtId="0" fontId="18" fillId="0" borderId="15" xfId="0" applyFont="1" applyBorder="1"/>
    <xf numFmtId="0" fontId="19" fillId="0" borderId="15" xfId="0" applyFont="1" applyBorder="1"/>
    <xf numFmtId="165" fontId="9" fillId="0" borderId="16" xfId="0" applyNumberFormat="1" applyFont="1" applyBorder="1"/>
    <xf numFmtId="0" fontId="18" fillId="0" borderId="17" xfId="0" applyFont="1" applyBorder="1"/>
    <xf numFmtId="0" fontId="18" fillId="0" borderId="18" xfId="0" applyFont="1" applyBorder="1"/>
    <xf numFmtId="0" fontId="19" fillId="0" borderId="18" xfId="0" applyFont="1" applyBorder="1"/>
    <xf numFmtId="165" fontId="9" fillId="0" borderId="19" xfId="0" applyNumberFormat="1" applyFont="1" applyBorder="1"/>
    <xf numFmtId="0" fontId="18" fillId="0" borderId="20" xfId="0" applyFont="1" applyBorder="1"/>
    <xf numFmtId="0" fontId="19" fillId="0" borderId="20" xfId="0" applyFont="1" applyBorder="1"/>
    <xf numFmtId="165" fontId="9" fillId="0" borderId="21" xfId="0" applyNumberFormat="1" applyFont="1" applyBorder="1"/>
    <xf numFmtId="0" fontId="23" fillId="7" borderId="1" xfId="0" applyFont="1" applyFill="1" applyBorder="1" applyAlignment="1">
      <alignment horizontal="center"/>
    </xf>
    <xf numFmtId="0" fontId="20" fillId="7" borderId="1" xfId="0" applyFont="1" applyFill="1" applyBorder="1"/>
    <xf numFmtId="0" fontId="18" fillId="7" borderId="1" xfId="0" applyFont="1" applyFill="1" applyBorder="1"/>
    <xf numFmtId="0" fontId="22" fillId="7" borderId="1" xfId="0" applyFont="1" applyFill="1" applyBorder="1"/>
    <xf numFmtId="0" fontId="22" fillId="7" borderId="1" xfId="0" applyFont="1" applyFill="1" applyBorder="1" applyAlignment="1">
      <alignment horizontal="center" wrapText="1"/>
    </xf>
    <xf numFmtId="0" fontId="19" fillId="7" borderId="1" xfId="0" applyFont="1" applyFill="1" applyBorder="1" applyAlignment="1">
      <alignment horizontal="right"/>
    </xf>
    <xf numFmtId="0" fontId="19" fillId="7" borderId="1" xfId="0" applyFont="1" applyFill="1" applyBorder="1"/>
    <xf numFmtId="0" fontId="0" fillId="7" borderId="1" xfId="0" applyFill="1" applyBorder="1"/>
    <xf numFmtId="0" fontId="0" fillId="7" borderId="0" xfId="0" applyFill="1"/>
    <xf numFmtId="0" fontId="23" fillId="8" borderId="1" xfId="0" applyFont="1" applyFill="1" applyBorder="1"/>
    <xf numFmtId="0" fontId="23" fillId="8" borderId="1" xfId="0" applyFont="1" applyFill="1" applyBorder="1" applyAlignment="1">
      <alignment horizontal="center"/>
    </xf>
    <xf numFmtId="0" fontId="24" fillId="8" borderId="1" xfId="0" applyFont="1" applyFill="1" applyBorder="1" applyAlignment="1">
      <alignment horizontal="center"/>
    </xf>
    <xf numFmtId="0" fontId="5" fillId="8" borderId="0" xfId="0" applyFont="1" applyFill="1"/>
    <xf numFmtId="0" fontId="22" fillId="7" borderId="1" xfId="0" applyFont="1" applyFill="1" applyBorder="1" applyAlignment="1">
      <alignment horizontal="center"/>
    </xf>
    <xf numFmtId="2" fontId="19" fillId="7" borderId="1" xfId="0" applyNumberFormat="1" applyFont="1" applyFill="1" applyBorder="1"/>
    <xf numFmtId="0" fontId="22" fillId="7" borderId="2" xfId="0" applyFont="1" applyFill="1" applyBorder="1" applyAlignment="1">
      <alignment horizontal="center"/>
    </xf>
    <xf numFmtId="0" fontId="18" fillId="7" borderId="1" xfId="0" applyFont="1" applyFill="1" applyBorder="1" applyAlignment="1">
      <alignment horizontal="right"/>
    </xf>
    <xf numFmtId="2" fontId="19" fillId="0" borderId="0" xfId="0" applyNumberFormat="1" applyFont="1"/>
    <xf numFmtId="0" fontId="25" fillId="5" borderId="0" xfId="0" applyFont="1" applyFill="1"/>
    <xf numFmtId="0" fontId="5" fillId="0" borderId="0" xfId="0" applyFont="1"/>
    <xf numFmtId="0" fontId="25" fillId="0" borderId="0" xfId="0" applyFont="1"/>
    <xf numFmtId="0" fontId="8" fillId="5" borderId="0" xfId="0" applyFont="1" applyFill="1"/>
    <xf numFmtId="0" fontId="0" fillId="5" borderId="0" xfId="0" applyFill="1"/>
    <xf numFmtId="0" fontId="6" fillId="5" borderId="0" xfId="0" applyFont="1" applyFill="1"/>
    <xf numFmtId="0" fontId="6" fillId="5" borderId="1" xfId="0" applyFont="1" applyFill="1" applyBorder="1"/>
    <xf numFmtId="0" fontId="0" fillId="6" borderId="1" xfId="0" applyFill="1" applyBorder="1"/>
    <xf numFmtId="1" fontId="0" fillId="0" borderId="0" xfId="0" applyNumberFormat="1"/>
    <xf numFmtId="14" fontId="0" fillId="0" borderId="0" xfId="0" applyNumberFormat="1"/>
    <xf numFmtId="0" fontId="18" fillId="9" borderId="14" xfId="0" applyFont="1" applyFill="1" applyBorder="1"/>
    <xf numFmtId="0" fontId="18" fillId="9" borderId="15" xfId="0" applyFont="1" applyFill="1" applyBorder="1"/>
    <xf numFmtId="0" fontId="19" fillId="9" borderId="15" xfId="0" applyFont="1" applyFill="1" applyBorder="1"/>
    <xf numFmtId="165" fontId="9" fillId="9" borderId="16" xfId="0" applyNumberFormat="1" applyFont="1" applyFill="1" applyBorder="1"/>
    <xf numFmtId="0" fontId="18" fillId="9" borderId="17" xfId="0" applyFont="1" applyFill="1" applyBorder="1"/>
    <xf numFmtId="0" fontId="18" fillId="9" borderId="18" xfId="0" applyFont="1" applyFill="1" applyBorder="1"/>
    <xf numFmtId="0" fontId="19" fillId="9" borderId="18" xfId="0" applyFont="1" applyFill="1" applyBorder="1"/>
    <xf numFmtId="165" fontId="9" fillId="9" borderId="19" xfId="0" applyNumberFormat="1" applyFont="1" applyFill="1" applyBorder="1"/>
    <xf numFmtId="0" fontId="18" fillId="5" borderId="1" xfId="0" applyFont="1" applyFill="1" applyBorder="1" applyAlignment="1">
      <alignment horizontal="right"/>
    </xf>
    <xf numFmtId="0" fontId="19" fillId="5" borderId="1" xfId="0" applyFont="1" applyFill="1" applyBorder="1"/>
    <xf numFmtId="0" fontId="0" fillId="5" borderId="1" xfId="0" applyFill="1" applyBorder="1"/>
    <xf numFmtId="0" fontId="22" fillId="7" borderId="3" xfId="0" applyFont="1" applyFill="1" applyBorder="1" applyAlignment="1">
      <alignment horizontal="center"/>
    </xf>
    <xf numFmtId="0" fontId="19" fillId="7" borderId="3" xfId="0" applyFont="1" applyFill="1" applyBorder="1"/>
    <xf numFmtId="0" fontId="18" fillId="7" borderId="3" xfId="0" applyFont="1" applyFill="1" applyBorder="1"/>
    <xf numFmtId="0" fontId="22" fillId="7" borderId="3" xfId="0" applyFont="1" applyFill="1" applyBorder="1"/>
    <xf numFmtId="0" fontId="20" fillId="7" borderId="3" xfId="0" applyFont="1" applyFill="1" applyBorder="1"/>
    <xf numFmtId="0" fontId="0" fillId="7" borderId="3" xfId="0" applyFill="1" applyBorder="1"/>
    <xf numFmtId="0" fontId="19" fillId="5" borderId="1" xfId="0" applyFont="1" applyFill="1" applyBorder="1" applyAlignment="1">
      <alignment horizontal="left"/>
    </xf>
    <xf numFmtId="0" fontId="22" fillId="7" borderId="22" xfId="0" applyFont="1" applyFill="1" applyBorder="1" applyAlignment="1">
      <alignment horizontal="center"/>
    </xf>
    <xf numFmtId="0" fontId="19" fillId="7" borderId="22" xfId="0" applyFont="1" applyFill="1" applyBorder="1"/>
    <xf numFmtId="0" fontId="18" fillId="7" borderId="22" xfId="0" applyFont="1" applyFill="1" applyBorder="1"/>
    <xf numFmtId="0" fontId="22" fillId="7" borderId="22" xfId="0" applyFont="1" applyFill="1" applyBorder="1"/>
    <xf numFmtId="0" fontId="20" fillId="7" borderId="22" xfId="0" applyFont="1" applyFill="1" applyBorder="1"/>
    <xf numFmtId="0" fontId="0" fillId="7" borderId="22" xfId="0" applyFill="1" applyBorder="1"/>
    <xf numFmtId="0" fontId="19" fillId="6" borderId="1" xfId="0" applyFont="1" applyFill="1" applyBorder="1"/>
    <xf numFmtId="0" fontId="18" fillId="9" borderId="23" xfId="0" applyFont="1" applyFill="1" applyBorder="1"/>
    <xf numFmtId="0" fontId="18" fillId="9" borderId="0" xfId="0" applyFont="1" applyFill="1"/>
    <xf numFmtId="0" fontId="19" fillId="9" borderId="0" xfId="0" applyFont="1" applyFill="1"/>
    <xf numFmtId="165" fontId="9" fillId="9" borderId="24" xfId="0" applyNumberFormat="1" applyFont="1" applyFill="1" applyBorder="1"/>
    <xf numFmtId="0" fontId="20" fillId="10" borderId="1" xfId="0" applyFont="1" applyFill="1" applyBorder="1"/>
    <xf numFmtId="0" fontId="19" fillId="11" borderId="1" xfId="0" applyFont="1" applyFill="1" applyBorder="1"/>
    <xf numFmtId="0" fontId="0" fillId="6" borderId="0" xfId="0" applyFill="1"/>
    <xf numFmtId="0" fontId="16" fillId="0" borderId="1" xfId="0" applyFont="1" applyBorder="1"/>
    <xf numFmtId="0" fontId="8" fillId="0" borderId="1" xfId="0" applyFont="1" applyBorder="1"/>
    <xf numFmtId="0" fontId="25" fillId="5" borderId="1" xfId="0" applyFont="1" applyFill="1" applyBorder="1"/>
    <xf numFmtId="0" fontId="8" fillId="6" borderId="1" xfId="0" applyFont="1" applyFill="1" applyBorder="1"/>
    <xf numFmtId="0" fontId="24" fillId="5" borderId="1" xfId="0" applyFont="1" applyFill="1" applyBorder="1" applyAlignment="1">
      <alignment horizontal="center"/>
    </xf>
    <xf numFmtId="0" fontId="0" fillId="8" borderId="1" xfId="0" applyFill="1" applyBorder="1"/>
    <xf numFmtId="16" fontId="0" fillId="7" borderId="1" xfId="0" applyNumberFormat="1" applyFill="1" applyBorder="1"/>
    <xf numFmtId="0" fontId="19" fillId="5" borderId="13" xfId="0" applyFont="1" applyFill="1" applyBorder="1"/>
    <xf numFmtId="0" fontId="0" fillId="5" borderId="13" xfId="0" applyFill="1" applyBorder="1"/>
    <xf numFmtId="0" fontId="24" fillId="7" borderId="21" xfId="0" applyFont="1" applyFill="1" applyBorder="1" applyAlignment="1">
      <alignment horizontal="center"/>
    </xf>
    <xf numFmtId="0" fontId="0" fillId="0" borderId="21" xfId="0" applyBorder="1"/>
    <xf numFmtId="49" fontId="19" fillId="0" borderId="1" xfId="0" applyNumberFormat="1" applyFont="1" applyBorder="1" applyAlignment="1">
      <alignment horizontal="center"/>
    </xf>
    <xf numFmtId="0" fontId="24" fillId="8" borderId="2" xfId="0" applyFont="1" applyFill="1" applyBorder="1" applyAlignment="1">
      <alignment horizontal="center"/>
    </xf>
    <xf numFmtId="2" fontId="0" fillId="0" borderId="1" xfId="0" applyNumberFormat="1" applyBorder="1"/>
    <xf numFmtId="49" fontId="19" fillId="0" borderId="1" xfId="0" applyNumberFormat="1" applyFont="1" applyBorder="1"/>
    <xf numFmtId="49" fontId="22" fillId="7" borderId="1" xfId="0" applyNumberFormat="1" applyFont="1" applyFill="1" applyBorder="1" applyAlignment="1">
      <alignment horizontal="center" wrapText="1"/>
    </xf>
    <xf numFmtId="49" fontId="22" fillId="7" borderId="1" xfId="0" applyNumberFormat="1" applyFont="1" applyFill="1" applyBorder="1" applyAlignment="1">
      <alignment horizontal="center"/>
    </xf>
    <xf numFmtId="49" fontId="22" fillId="7" borderId="2" xfId="0" applyNumberFormat="1" applyFont="1" applyFill="1" applyBorder="1" applyAlignment="1">
      <alignment horizontal="center"/>
    </xf>
    <xf numFmtId="49" fontId="19" fillId="0" borderId="2" xfId="0" applyNumberFormat="1" applyFont="1" applyBorder="1"/>
    <xf numFmtId="49" fontId="22" fillId="7" borderId="3" xfId="0" applyNumberFormat="1" applyFont="1" applyFill="1" applyBorder="1" applyAlignment="1">
      <alignment horizontal="center"/>
    </xf>
    <xf numFmtId="49" fontId="19" fillId="5" borderId="1" xfId="0" applyNumberFormat="1" applyFont="1" applyFill="1" applyBorder="1" applyAlignment="1">
      <alignment horizontal="left"/>
    </xf>
    <xf numFmtId="49" fontId="22" fillId="7" borderId="22" xfId="0" applyNumberFormat="1" applyFont="1" applyFill="1" applyBorder="1" applyAlignment="1">
      <alignment horizontal="center"/>
    </xf>
    <xf numFmtId="49" fontId="8" fillId="0" borderId="0" xfId="0" applyNumberFormat="1" applyFont="1"/>
    <xf numFmtId="49" fontId="19" fillId="4" borderId="1" xfId="0" applyNumberFormat="1" applyFont="1" applyFill="1" applyBorder="1"/>
    <xf numFmtId="49" fontId="19" fillId="0" borderId="3" xfId="0" applyNumberFormat="1" applyFont="1" applyBorder="1"/>
    <xf numFmtId="49" fontId="0" fillId="0" borderId="1" xfId="0" applyNumberFormat="1" applyBorder="1"/>
    <xf numFmtId="49" fontId="19" fillId="0" borderId="0" xfId="0" applyNumberFormat="1" applyFont="1"/>
    <xf numFmtId="49" fontId="19" fillId="7" borderId="1" xfId="0" applyNumberFormat="1" applyFont="1" applyFill="1" applyBorder="1"/>
    <xf numFmtId="49" fontId="0" fillId="0" borderId="3" xfId="0" applyNumberFormat="1" applyBorder="1"/>
    <xf numFmtId="0" fontId="0" fillId="0" borderId="3" xfId="0" applyBorder="1"/>
    <xf numFmtId="49" fontId="0" fillId="7" borderId="1" xfId="0" applyNumberFormat="1" applyFill="1" applyBorder="1"/>
    <xf numFmtId="0" fontId="8" fillId="5" borderId="1" xfId="0" applyFont="1" applyFill="1" applyBorder="1"/>
    <xf numFmtId="14" fontId="0" fillId="5" borderId="1" xfId="0" applyNumberFormat="1" applyFill="1" applyBorder="1"/>
    <xf numFmtId="0" fontId="0" fillId="5" borderId="1" xfId="0" applyFill="1" applyBorder="1" applyAlignment="1">
      <alignment horizontal="center"/>
    </xf>
    <xf numFmtId="164" fontId="15" fillId="5" borderId="1" xfId="2" applyFont="1" applyFill="1" applyBorder="1"/>
    <xf numFmtId="9" fontId="15" fillId="5" borderId="1" xfId="3" applyFont="1" applyFill="1" applyBorder="1"/>
    <xf numFmtId="2" fontId="15" fillId="5" borderId="1" xfId="2" applyNumberFormat="1" applyFont="1" applyFill="1" applyBorder="1"/>
    <xf numFmtId="2" fontId="0" fillId="5" borderId="1" xfId="0" applyNumberFormat="1" applyFill="1" applyBorder="1"/>
    <xf numFmtId="49" fontId="0" fillId="5" borderId="1" xfId="0" applyNumberFormat="1" applyFill="1" applyBorder="1"/>
    <xf numFmtId="49" fontId="0" fillId="5" borderId="0" xfId="0" applyNumberFormat="1" applyFill="1"/>
    <xf numFmtId="49" fontId="15" fillId="5" borderId="1" xfId="2" applyNumberFormat="1" applyFont="1" applyFill="1" applyBorder="1" applyAlignment="1">
      <alignment horizontal="right"/>
    </xf>
    <xf numFmtId="49" fontId="0" fillId="5" borderId="1" xfId="0" applyNumberFormat="1" applyFill="1" applyBorder="1" applyAlignment="1">
      <alignment horizontal="right"/>
    </xf>
    <xf numFmtId="49" fontId="0" fillId="5" borderId="0" xfId="0" applyNumberFormat="1" applyFill="1" applyAlignment="1">
      <alignment horizontal="right"/>
    </xf>
    <xf numFmtId="0" fontId="0" fillId="5" borderId="1" xfId="0" applyFill="1" applyBorder="1" applyAlignment="1">
      <alignment horizontal="left"/>
    </xf>
    <xf numFmtId="0" fontId="0" fillId="5" borderId="0" xfId="0" applyFill="1" applyAlignment="1">
      <alignment horizontal="left"/>
    </xf>
    <xf numFmtId="0" fontId="24" fillId="8" borderId="13" xfId="0" applyFont="1" applyFill="1" applyBorder="1" applyAlignment="1">
      <alignment horizontal="center"/>
    </xf>
    <xf numFmtId="49" fontId="0" fillId="5" borderId="13" xfId="0" applyNumberFormat="1" applyFill="1" applyBorder="1"/>
    <xf numFmtId="49" fontId="19" fillId="5" borderId="13" xfId="0" applyNumberFormat="1" applyFont="1" applyFill="1" applyBorder="1"/>
    <xf numFmtId="0" fontId="19" fillId="7" borderId="13" xfId="0" applyFont="1" applyFill="1" applyBorder="1"/>
    <xf numFmtId="0" fontId="23" fillId="5" borderId="1" xfId="0" applyFont="1" applyFill="1" applyBorder="1"/>
    <xf numFmtId="0" fontId="23" fillId="5" borderId="1" xfId="0" applyFont="1" applyFill="1" applyBorder="1" applyAlignment="1">
      <alignment horizontal="center"/>
    </xf>
    <xf numFmtId="0" fontId="4" fillId="5" borderId="1" xfId="0" applyFont="1" applyFill="1" applyBorder="1" applyAlignment="1">
      <alignment horizontal="center"/>
    </xf>
    <xf numFmtId="0" fontId="19" fillId="5" borderId="0" xfId="0" applyFont="1" applyFill="1"/>
    <xf numFmtId="0" fontId="20" fillId="5" borderId="1" xfId="0" applyFont="1" applyFill="1" applyBorder="1"/>
    <xf numFmtId="165" fontId="0" fillId="5" borderId="1" xfId="0" applyNumberFormat="1" applyFill="1" applyBorder="1"/>
    <xf numFmtId="0" fontId="19" fillId="5" borderId="1" xfId="0" applyFont="1" applyFill="1" applyBorder="1" applyAlignment="1">
      <alignment horizontal="right"/>
    </xf>
    <xf numFmtId="2" fontId="19" fillId="5" borderId="1" xfId="0" applyNumberFormat="1" applyFont="1" applyFill="1" applyBorder="1"/>
    <xf numFmtId="0" fontId="22" fillId="5" borderId="1" xfId="0" applyFont="1" applyFill="1" applyBorder="1" applyAlignment="1">
      <alignment horizontal="center"/>
    </xf>
    <xf numFmtId="0" fontId="19" fillId="5" borderId="2" xfId="0" applyFont="1" applyFill="1" applyBorder="1" applyAlignment="1">
      <alignment horizontal="right"/>
    </xf>
    <xf numFmtId="1" fontId="19" fillId="5" borderId="1" xfId="0" applyNumberFormat="1" applyFont="1" applyFill="1" applyBorder="1"/>
    <xf numFmtId="0" fontId="21" fillId="5" borderId="1" xfId="0" applyFont="1" applyFill="1" applyBorder="1"/>
    <xf numFmtId="0" fontId="19" fillId="5" borderId="3" xfId="0" applyFont="1" applyFill="1" applyBorder="1"/>
    <xf numFmtId="164" fontId="19" fillId="5" borderId="1" xfId="2" applyFont="1" applyFill="1" applyBorder="1"/>
    <xf numFmtId="14" fontId="19" fillId="5" borderId="1" xfId="0" applyNumberFormat="1" applyFont="1" applyFill="1" applyBorder="1"/>
    <xf numFmtId="8" fontId="19" fillId="5" borderId="1" xfId="0" applyNumberFormat="1" applyFont="1" applyFill="1" applyBorder="1"/>
    <xf numFmtId="49" fontId="23" fillId="5" borderId="1" xfId="0" applyNumberFormat="1" applyFont="1" applyFill="1" applyBorder="1" applyAlignment="1">
      <alignment horizontal="center"/>
    </xf>
    <xf numFmtId="12" fontId="0" fillId="5" borderId="1" xfId="0" applyNumberFormat="1" applyFill="1" applyBorder="1"/>
    <xf numFmtId="0" fontId="3" fillId="0" borderId="1" xfId="0" applyFont="1" applyBorder="1" applyAlignment="1">
      <alignment horizontal="center"/>
    </xf>
    <xf numFmtId="14" fontId="0" fillId="0" borderId="1" xfId="0" applyNumberFormat="1" applyBorder="1"/>
    <xf numFmtId="8" fontId="0" fillId="0" borderId="1" xfId="0" applyNumberFormat="1" applyBorder="1"/>
    <xf numFmtId="0" fontId="19" fillId="5" borderId="3" xfId="0" applyFont="1" applyFill="1" applyBorder="1" applyAlignment="1">
      <alignment horizontal="right"/>
    </xf>
    <xf numFmtId="165" fontId="0" fillId="5" borderId="3" xfId="0" applyNumberFormat="1" applyFill="1" applyBorder="1"/>
    <xf numFmtId="0" fontId="22" fillId="5" borderId="22" xfId="0" applyFont="1" applyFill="1" applyBorder="1" applyAlignment="1">
      <alignment horizontal="center"/>
    </xf>
    <xf numFmtId="0" fontId="20" fillId="5" borderId="22" xfId="0" applyFont="1" applyFill="1" applyBorder="1"/>
    <xf numFmtId="0" fontId="19" fillId="5" borderId="22" xfId="0" applyFont="1" applyFill="1" applyBorder="1"/>
    <xf numFmtId="165" fontId="0" fillId="5" borderId="22" xfId="0" applyNumberFormat="1" applyFill="1" applyBorder="1"/>
    <xf numFmtId="166" fontId="0" fillId="5" borderId="1" xfId="0" applyNumberFormat="1" applyFill="1" applyBorder="1"/>
    <xf numFmtId="49" fontId="19" fillId="5" borderId="1" xfId="0" applyNumberFormat="1" applyFont="1" applyFill="1" applyBorder="1" applyAlignment="1">
      <alignment horizontal="center"/>
    </xf>
    <xf numFmtId="6" fontId="19" fillId="5" borderId="1" xfId="0" applyNumberFormat="1" applyFont="1" applyFill="1" applyBorder="1"/>
    <xf numFmtId="49" fontId="5" fillId="5" borderId="1" xfId="0" applyNumberFormat="1" applyFont="1" applyFill="1" applyBorder="1"/>
    <xf numFmtId="0" fontId="5" fillId="5" borderId="1" xfId="0" applyFont="1" applyFill="1" applyBorder="1"/>
    <xf numFmtId="49" fontId="5" fillId="5" borderId="13" xfId="0" applyNumberFormat="1" applyFont="1" applyFill="1" applyBorder="1"/>
    <xf numFmtId="0" fontId="22" fillId="5" borderId="1" xfId="0" applyFont="1" applyFill="1" applyBorder="1" applyAlignment="1">
      <alignment horizontal="center" wrapText="1"/>
    </xf>
    <xf numFmtId="0" fontId="22" fillId="5" borderId="2" xfId="0" applyFont="1" applyFill="1" applyBorder="1" applyAlignment="1">
      <alignment horizontal="center"/>
    </xf>
    <xf numFmtId="0" fontId="22" fillId="5" borderId="3" xfId="0" applyFont="1" applyFill="1" applyBorder="1" applyAlignment="1">
      <alignment horizontal="center"/>
    </xf>
  </cellXfs>
  <cellStyles count="4">
    <cellStyle name="Hipervínculo" xfId="1" builtinId="8"/>
    <cellStyle name="Moneda" xfId="2" builtinId="4"/>
    <cellStyle name="Normal" xfId="0" builtinId="0"/>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2BB5-9AB3-4D7C-A03D-AFA18B9D6384}">
  <dimension ref="A1:S581"/>
  <sheetViews>
    <sheetView topLeftCell="A13" workbookViewId="0">
      <selection activeCell="D29" sqref="D29"/>
    </sheetView>
  </sheetViews>
  <sheetFormatPr baseColWidth="10" defaultRowHeight="17.399999999999999" x14ac:dyDescent="0.3"/>
  <cols>
    <col min="1" max="1" width="46.5546875" customWidth="1"/>
    <col min="2" max="2" width="9.109375" customWidth="1"/>
    <col min="3" max="3" width="11.109375" style="2" customWidth="1"/>
    <col min="4" max="4" width="11" style="2" customWidth="1"/>
    <col min="5" max="5" width="13.44140625" style="2" customWidth="1"/>
    <col min="6" max="6" width="9.33203125" style="3" customWidth="1"/>
    <col min="7" max="7" width="11.5546875" customWidth="1"/>
    <col min="8" max="8" width="9.6640625" style="28" customWidth="1"/>
    <col min="9" max="9" width="11.44140625" style="30" customWidth="1"/>
    <col min="10" max="10" width="9" style="5" customWidth="1"/>
  </cols>
  <sheetData>
    <row r="1" spans="1:19" x14ac:dyDescent="0.3">
      <c r="A1" s="9" t="s">
        <v>16</v>
      </c>
      <c r="B1" s="9"/>
      <c r="C1" s="10"/>
      <c r="D1" s="10"/>
      <c r="E1" s="10"/>
      <c r="F1" s="11"/>
      <c r="G1" s="12"/>
      <c r="H1" s="26"/>
      <c r="I1" s="29"/>
      <c r="J1" s="12"/>
    </row>
    <row r="2" spans="1:19" x14ac:dyDescent="0.3">
      <c r="A2" s="9" t="s">
        <v>19</v>
      </c>
      <c r="B2" s="9"/>
      <c r="C2" s="10"/>
      <c r="D2" s="10"/>
      <c r="E2" s="10"/>
      <c r="F2" s="11"/>
      <c r="G2" s="12"/>
      <c r="H2" s="26"/>
      <c r="I2" s="29"/>
      <c r="J2" s="12"/>
    </row>
    <row r="3" spans="1:19" x14ac:dyDescent="0.3">
      <c r="A3" s="9" t="s">
        <v>241</v>
      </c>
      <c r="B3" s="9"/>
      <c r="C3" s="10"/>
      <c r="D3" s="10"/>
      <c r="E3" s="10"/>
      <c r="F3" s="11"/>
      <c r="G3" s="12"/>
      <c r="H3" s="26"/>
      <c r="I3" s="29"/>
      <c r="J3" s="12"/>
    </row>
    <row r="4" spans="1:19" x14ac:dyDescent="0.3">
      <c r="A4" s="9" t="s">
        <v>368</v>
      </c>
      <c r="B4" s="9"/>
      <c r="C4" s="10"/>
      <c r="D4" s="10"/>
      <c r="E4" s="10"/>
      <c r="F4" s="11"/>
      <c r="G4" s="12"/>
      <c r="H4" s="26"/>
      <c r="I4" s="29"/>
      <c r="J4" s="12"/>
    </row>
    <row r="5" spans="1:19" x14ac:dyDescent="0.3">
      <c r="A5" s="12"/>
      <c r="B5" s="12"/>
      <c r="C5" s="10"/>
      <c r="D5" s="10"/>
      <c r="E5" s="10"/>
      <c r="F5" s="11"/>
      <c r="G5" s="12"/>
      <c r="H5" s="26"/>
      <c r="I5" s="29"/>
      <c r="J5" s="12"/>
    </row>
    <row r="6" spans="1:19" x14ac:dyDescent="0.3">
      <c r="A6" s="78" t="s">
        <v>0</v>
      </c>
      <c r="B6" s="79" t="s">
        <v>12</v>
      </c>
      <c r="C6" s="80" t="s">
        <v>13</v>
      </c>
      <c r="D6" s="80" t="s">
        <v>14</v>
      </c>
      <c r="E6" s="80"/>
      <c r="F6" s="80" t="s">
        <v>17</v>
      </c>
      <c r="G6" s="80" t="s">
        <v>34</v>
      </c>
      <c r="H6" s="79" t="s">
        <v>34</v>
      </c>
      <c r="I6" s="79" t="s">
        <v>34</v>
      </c>
      <c r="J6" s="80" t="s">
        <v>257</v>
      </c>
      <c r="K6" s="81" t="s">
        <v>35</v>
      </c>
      <c r="L6" s="81" t="s">
        <v>35</v>
      </c>
    </row>
    <row r="7" spans="1:19" x14ac:dyDescent="0.3">
      <c r="A7" s="69" t="s">
        <v>36</v>
      </c>
      <c r="B7" s="69"/>
      <c r="C7" s="75"/>
      <c r="D7" s="75"/>
      <c r="E7" s="75"/>
      <c r="F7" s="70"/>
      <c r="G7" s="70"/>
      <c r="H7" s="71"/>
      <c r="I7" s="72"/>
      <c r="J7" s="70"/>
      <c r="K7" s="77"/>
      <c r="L7" s="77"/>
    </row>
    <row r="8" spans="1:19" x14ac:dyDescent="0.3">
      <c r="A8" s="14" t="s">
        <v>37</v>
      </c>
      <c r="B8" s="15" t="s">
        <v>8</v>
      </c>
      <c r="C8" s="51">
        <v>2678.07</v>
      </c>
      <c r="D8" s="51">
        <v>1.6</v>
      </c>
      <c r="E8" s="51">
        <f>C8*D8</f>
        <v>4284.9120000000003</v>
      </c>
      <c r="F8" s="16">
        <v>4300</v>
      </c>
      <c r="G8" s="23">
        <v>1.95</v>
      </c>
      <c r="H8" s="27">
        <f>C8*G8</f>
        <v>5222.2365</v>
      </c>
      <c r="I8" s="29">
        <v>5300</v>
      </c>
      <c r="J8" s="13">
        <v>4050</v>
      </c>
      <c r="K8" s="8">
        <v>1.5</v>
      </c>
      <c r="L8" s="8">
        <f>C8*K8</f>
        <v>4017.1050000000005</v>
      </c>
      <c r="N8" s="95">
        <f>1650*1.6</f>
        <v>2640</v>
      </c>
    </row>
    <row r="9" spans="1:19" x14ac:dyDescent="0.3">
      <c r="A9" s="14" t="s">
        <v>357</v>
      </c>
      <c r="B9" s="15" t="s">
        <v>8</v>
      </c>
      <c r="C9" s="14">
        <v>2070.5100000000002</v>
      </c>
      <c r="D9" s="51">
        <v>1.6</v>
      </c>
      <c r="E9" s="51">
        <f>C9*D9</f>
        <v>3312.8160000000007</v>
      </c>
      <c r="F9" s="16">
        <v>3350</v>
      </c>
      <c r="G9" s="23">
        <v>1.95</v>
      </c>
      <c r="H9" s="27">
        <f t="shared" ref="H9:H89" si="0">C9*G9</f>
        <v>4037.4945000000002</v>
      </c>
      <c r="I9" s="29">
        <v>4050</v>
      </c>
      <c r="J9" s="13">
        <v>3110</v>
      </c>
      <c r="K9" s="8">
        <v>1.5</v>
      </c>
      <c r="L9" s="8">
        <f t="shared" ref="L9:L89" si="1">C9*K9</f>
        <v>3105.7650000000003</v>
      </c>
      <c r="N9">
        <f>3168*1.6</f>
        <v>5068.8</v>
      </c>
    </row>
    <row r="10" spans="1:19" x14ac:dyDescent="0.3">
      <c r="A10" s="14" t="s">
        <v>350</v>
      </c>
      <c r="B10" s="15" t="s">
        <v>8</v>
      </c>
      <c r="C10" s="14">
        <v>9813.5</v>
      </c>
      <c r="D10" s="51">
        <v>1.6</v>
      </c>
      <c r="E10" s="51">
        <f>C10*D10</f>
        <v>15701.6</v>
      </c>
      <c r="F10" s="16">
        <v>15700</v>
      </c>
      <c r="G10" s="23">
        <v>1.95</v>
      </c>
      <c r="H10" s="27">
        <f t="shared" si="0"/>
        <v>19136.325000000001</v>
      </c>
      <c r="I10" s="29">
        <v>19140</v>
      </c>
      <c r="J10" s="13">
        <v>14720</v>
      </c>
      <c r="K10" s="8">
        <v>1.5</v>
      </c>
      <c r="L10" s="8">
        <f t="shared" si="1"/>
        <v>14720.25</v>
      </c>
      <c r="P10">
        <f>6+1.2</f>
        <v>7.2</v>
      </c>
      <c r="Q10">
        <f>2545.08/250</f>
        <v>10.18032</v>
      </c>
    </row>
    <row r="11" spans="1:19" x14ac:dyDescent="0.3">
      <c r="A11" s="14" t="s">
        <v>358</v>
      </c>
      <c r="B11" s="15" t="s">
        <v>8</v>
      </c>
      <c r="C11" s="14">
        <v>6864.6</v>
      </c>
      <c r="D11" s="51">
        <v>1.6</v>
      </c>
      <c r="E11" s="51">
        <f t="shared" ref="E11:E91" si="2">C11*D11</f>
        <v>10983.36</v>
      </c>
      <c r="F11" s="16">
        <v>11000</v>
      </c>
      <c r="G11" s="23">
        <v>1.95</v>
      </c>
      <c r="H11" s="27">
        <f t="shared" si="0"/>
        <v>13385.970000000001</v>
      </c>
      <c r="I11" s="29">
        <v>13400</v>
      </c>
      <c r="J11" s="13">
        <v>10300</v>
      </c>
      <c r="K11" s="8">
        <v>1.5</v>
      </c>
      <c r="L11" s="8">
        <f t="shared" si="1"/>
        <v>10296.900000000001</v>
      </c>
    </row>
    <row r="12" spans="1:19" x14ac:dyDescent="0.3">
      <c r="A12" s="14" t="s">
        <v>360</v>
      </c>
      <c r="B12" s="15" t="s">
        <v>8</v>
      </c>
      <c r="C12" s="14">
        <v>6730</v>
      </c>
      <c r="D12" s="51">
        <v>1.6</v>
      </c>
      <c r="E12" s="51">
        <f t="shared" si="2"/>
        <v>10768</v>
      </c>
      <c r="F12" s="16">
        <v>10800</v>
      </c>
      <c r="G12" s="23">
        <v>1.95</v>
      </c>
      <c r="H12" s="27">
        <f t="shared" si="0"/>
        <v>13123.5</v>
      </c>
      <c r="I12" s="29">
        <v>13150</v>
      </c>
      <c r="J12" s="13">
        <v>10100</v>
      </c>
      <c r="K12" s="8">
        <v>1.5</v>
      </c>
      <c r="L12" s="8">
        <f t="shared" si="1"/>
        <v>10095</v>
      </c>
      <c r="N12">
        <f>1941.13*10%</f>
        <v>194.11300000000003</v>
      </c>
    </row>
    <row r="13" spans="1:19" x14ac:dyDescent="0.3">
      <c r="A13" s="14" t="s">
        <v>39</v>
      </c>
      <c r="B13" s="15" t="s">
        <v>8</v>
      </c>
      <c r="C13" s="14">
        <v>7732.9</v>
      </c>
      <c r="D13" s="51">
        <v>1.6</v>
      </c>
      <c r="E13" s="51">
        <f t="shared" si="2"/>
        <v>12372.64</v>
      </c>
      <c r="F13" s="16">
        <v>12400</v>
      </c>
      <c r="G13" s="23">
        <v>1.95</v>
      </c>
      <c r="H13" s="27">
        <f t="shared" si="0"/>
        <v>15079.154999999999</v>
      </c>
      <c r="I13" s="29">
        <v>15000</v>
      </c>
      <c r="J13" s="13">
        <v>11600</v>
      </c>
      <c r="K13" s="8">
        <v>1.5</v>
      </c>
      <c r="L13" s="8">
        <f t="shared" si="1"/>
        <v>11599.349999999999</v>
      </c>
      <c r="N13">
        <f>1941.13-194.113</f>
        <v>1747.0170000000001</v>
      </c>
      <c r="Q13">
        <v>17.28</v>
      </c>
      <c r="R13">
        <f>17.28*66</f>
        <v>1140.48</v>
      </c>
      <c r="S13">
        <f>1140.48/6</f>
        <v>190.08</v>
      </c>
    </row>
    <row r="14" spans="1:19" x14ac:dyDescent="0.3">
      <c r="A14" s="14" t="s">
        <v>40</v>
      </c>
      <c r="B14" s="15" t="s">
        <v>8</v>
      </c>
      <c r="C14" s="14">
        <v>4435.9799999999996</v>
      </c>
      <c r="D14" s="51">
        <v>1.6</v>
      </c>
      <c r="E14" s="51">
        <f t="shared" si="2"/>
        <v>7097.5679999999993</v>
      </c>
      <c r="F14" s="16">
        <v>7100</v>
      </c>
      <c r="G14" s="23">
        <v>1.95</v>
      </c>
      <c r="H14" s="27">
        <f t="shared" si="0"/>
        <v>8650.1609999999982</v>
      </c>
      <c r="I14" s="29">
        <v>8700</v>
      </c>
      <c r="J14" s="13">
        <v>6700</v>
      </c>
      <c r="K14" s="8">
        <v>1.5</v>
      </c>
      <c r="L14" s="8">
        <f t="shared" si="1"/>
        <v>6653.9699999999993</v>
      </c>
      <c r="N14">
        <f>1747*1.6</f>
        <v>2795.2000000000003</v>
      </c>
      <c r="O14">
        <f>1113.58+430.12</f>
        <v>1543.6999999999998</v>
      </c>
      <c r="Q14">
        <v>23.43</v>
      </c>
      <c r="R14">
        <f>23.43*66</f>
        <v>1546.3799999999999</v>
      </c>
    </row>
    <row r="15" spans="1:19" x14ac:dyDescent="0.3">
      <c r="A15" s="14" t="s">
        <v>41</v>
      </c>
      <c r="B15" s="15" t="s">
        <v>8</v>
      </c>
      <c r="C15" s="14">
        <v>8449.49</v>
      </c>
      <c r="D15" s="51">
        <v>1.6</v>
      </c>
      <c r="E15" s="51">
        <f t="shared" si="2"/>
        <v>13519.184000000001</v>
      </c>
      <c r="F15" s="16">
        <v>13500</v>
      </c>
      <c r="G15" s="23">
        <v>1.95</v>
      </c>
      <c r="H15" s="27">
        <f t="shared" si="0"/>
        <v>16476.505499999999</v>
      </c>
      <c r="I15" s="29">
        <v>16500</v>
      </c>
      <c r="J15" s="13">
        <v>12700</v>
      </c>
      <c r="K15" s="8">
        <v>1.5</v>
      </c>
      <c r="L15" s="8">
        <f t="shared" si="1"/>
        <v>12674.235000000001</v>
      </c>
    </row>
    <row r="16" spans="1:19" x14ac:dyDescent="0.3">
      <c r="A16" s="14" t="s">
        <v>362</v>
      </c>
      <c r="B16" s="15" t="s">
        <v>8</v>
      </c>
      <c r="C16" s="14">
        <v>3885</v>
      </c>
      <c r="D16" s="51">
        <v>1.6</v>
      </c>
      <c r="E16" s="51">
        <f t="shared" si="2"/>
        <v>6216</v>
      </c>
      <c r="F16" s="16">
        <v>6220</v>
      </c>
      <c r="G16" s="23">
        <v>1.95</v>
      </c>
      <c r="H16" s="27">
        <f t="shared" si="0"/>
        <v>7575.75</v>
      </c>
      <c r="I16" s="29">
        <v>7580</v>
      </c>
      <c r="J16" s="13">
        <v>5830</v>
      </c>
      <c r="K16" s="8">
        <v>1.5</v>
      </c>
      <c r="L16" s="8">
        <f t="shared" si="1"/>
        <v>5827.5</v>
      </c>
    </row>
    <row r="17" spans="1:17" x14ac:dyDescent="0.3">
      <c r="A17" s="14" t="s">
        <v>363</v>
      </c>
      <c r="B17" s="15" t="s">
        <v>8</v>
      </c>
      <c r="C17" s="14">
        <v>7207.83</v>
      </c>
      <c r="D17" s="51">
        <v>1.6</v>
      </c>
      <c r="E17" s="51">
        <f t="shared" si="2"/>
        <v>11532.528</v>
      </c>
      <c r="F17" s="16">
        <v>11540</v>
      </c>
      <c r="G17" s="23">
        <v>1.95</v>
      </c>
      <c r="H17" s="27">
        <f t="shared" si="0"/>
        <v>14055.2685</v>
      </c>
      <c r="I17" s="29">
        <v>14100</v>
      </c>
      <c r="J17" s="13">
        <v>10800</v>
      </c>
      <c r="K17" s="8">
        <v>1.5</v>
      </c>
      <c r="L17" s="8">
        <f t="shared" si="1"/>
        <v>10811.744999999999</v>
      </c>
    </row>
    <row r="18" spans="1:17" x14ac:dyDescent="0.3">
      <c r="A18" s="14" t="s">
        <v>44</v>
      </c>
      <c r="B18" s="15" t="s">
        <v>8</v>
      </c>
      <c r="C18" s="14">
        <v>9261.2999999999993</v>
      </c>
      <c r="D18" s="51">
        <v>1.6</v>
      </c>
      <c r="E18" s="51">
        <f t="shared" si="2"/>
        <v>14818.08</v>
      </c>
      <c r="F18" s="16">
        <v>14800</v>
      </c>
      <c r="G18" s="23">
        <v>1.95</v>
      </c>
      <c r="H18" s="27">
        <f t="shared" si="0"/>
        <v>18059.535</v>
      </c>
      <c r="I18" s="29">
        <v>18060</v>
      </c>
      <c r="J18" s="13">
        <v>13900</v>
      </c>
      <c r="K18" s="8">
        <v>1.5</v>
      </c>
      <c r="L18" s="8">
        <f t="shared" si="1"/>
        <v>13891.949999999999</v>
      </c>
      <c r="N18">
        <f>5500/5</f>
        <v>1100</v>
      </c>
      <c r="Q18">
        <f>3983.66/16</f>
        <v>248.97874999999999</v>
      </c>
    </row>
    <row r="19" spans="1:17" x14ac:dyDescent="0.3">
      <c r="A19" s="14" t="s">
        <v>45</v>
      </c>
      <c r="B19" s="15" t="s">
        <v>8</v>
      </c>
      <c r="C19" s="14">
        <v>10689.46</v>
      </c>
      <c r="D19" s="51">
        <v>1.6</v>
      </c>
      <c r="E19" s="51">
        <f t="shared" si="2"/>
        <v>17103.135999999999</v>
      </c>
      <c r="F19" s="16">
        <v>17100</v>
      </c>
      <c r="G19" s="23">
        <v>1.95</v>
      </c>
      <c r="H19" s="27">
        <f t="shared" si="0"/>
        <v>20844.446999999996</v>
      </c>
      <c r="I19" s="29">
        <v>20850</v>
      </c>
      <c r="J19" s="13">
        <v>16050</v>
      </c>
      <c r="K19" s="8">
        <v>1.5</v>
      </c>
      <c r="L19" s="8">
        <f t="shared" si="1"/>
        <v>16034.189999999999</v>
      </c>
    </row>
    <row r="20" spans="1:17" x14ac:dyDescent="0.3">
      <c r="A20" s="73" t="s">
        <v>46</v>
      </c>
      <c r="B20" s="74"/>
      <c r="C20" s="75"/>
      <c r="D20" s="83"/>
      <c r="E20" s="83"/>
      <c r="F20" s="75"/>
      <c r="G20" s="70"/>
      <c r="H20" s="71"/>
      <c r="I20" s="72"/>
      <c r="J20" s="70"/>
      <c r="K20" s="76"/>
      <c r="L20" s="76"/>
    </row>
    <row r="21" spans="1:17" x14ac:dyDescent="0.3">
      <c r="A21" s="14" t="s">
        <v>372</v>
      </c>
      <c r="B21" s="15">
        <v>1</v>
      </c>
      <c r="C21" s="14">
        <v>844</v>
      </c>
      <c r="D21" s="51">
        <v>1.6</v>
      </c>
      <c r="E21" s="51">
        <f t="shared" si="2"/>
        <v>1350.4</v>
      </c>
      <c r="F21" s="16">
        <v>1350</v>
      </c>
      <c r="G21" s="23">
        <v>1.95</v>
      </c>
      <c r="H21" s="27">
        <f t="shared" si="0"/>
        <v>1645.8</v>
      </c>
      <c r="I21" s="29">
        <v>1650</v>
      </c>
      <c r="J21" s="13">
        <v>1270</v>
      </c>
      <c r="K21" s="8">
        <v>1.5</v>
      </c>
      <c r="L21" s="8">
        <f t="shared" si="1"/>
        <v>1266</v>
      </c>
    </row>
    <row r="22" spans="1:17" x14ac:dyDescent="0.3">
      <c r="A22" s="14" t="s">
        <v>337</v>
      </c>
      <c r="B22" s="15">
        <v>1</v>
      </c>
      <c r="C22" s="14">
        <v>693</v>
      </c>
      <c r="D22" s="51">
        <v>1.6</v>
      </c>
      <c r="E22" s="51">
        <f t="shared" si="2"/>
        <v>1108.8</v>
      </c>
      <c r="F22" s="16">
        <v>1100</v>
      </c>
      <c r="G22" s="23">
        <v>1.95</v>
      </c>
      <c r="H22" s="27">
        <f t="shared" si="0"/>
        <v>1351.35</v>
      </c>
      <c r="I22" s="29">
        <v>1350</v>
      </c>
      <c r="J22" s="13">
        <v>1040</v>
      </c>
      <c r="K22" s="8">
        <v>1.5</v>
      </c>
      <c r="L22" s="8">
        <f t="shared" si="1"/>
        <v>1039.5</v>
      </c>
    </row>
    <row r="23" spans="1:17" x14ac:dyDescent="0.3">
      <c r="A23" s="14" t="s">
        <v>235</v>
      </c>
      <c r="B23" s="15">
        <v>1</v>
      </c>
      <c r="C23" s="14">
        <v>1066.5</v>
      </c>
      <c r="D23" s="51">
        <v>1.6</v>
      </c>
      <c r="E23" s="51">
        <f t="shared" si="2"/>
        <v>1706.4</v>
      </c>
      <c r="F23" s="16">
        <v>1700</v>
      </c>
      <c r="G23" s="23">
        <v>1.95</v>
      </c>
      <c r="H23" s="27">
        <f t="shared" si="0"/>
        <v>2079.6749999999997</v>
      </c>
      <c r="I23" s="29">
        <v>2080</v>
      </c>
      <c r="J23" s="13">
        <v>1600</v>
      </c>
      <c r="K23" s="8">
        <v>1.5</v>
      </c>
      <c r="L23" s="8">
        <f t="shared" si="1"/>
        <v>1599.75</v>
      </c>
    </row>
    <row r="24" spans="1:17" x14ac:dyDescent="0.3">
      <c r="A24" s="14" t="s">
        <v>342</v>
      </c>
      <c r="B24" s="15">
        <v>1</v>
      </c>
      <c r="C24" s="14">
        <v>971.75</v>
      </c>
      <c r="D24" s="51">
        <v>1.6</v>
      </c>
      <c r="E24" s="51">
        <f t="shared" si="2"/>
        <v>1554.8000000000002</v>
      </c>
      <c r="F24" s="16">
        <v>1550</v>
      </c>
      <c r="G24" s="23">
        <v>1.95</v>
      </c>
      <c r="H24" s="27">
        <f t="shared" si="0"/>
        <v>1894.9124999999999</v>
      </c>
      <c r="I24" s="29">
        <v>1900</v>
      </c>
      <c r="J24" s="13">
        <v>1460</v>
      </c>
      <c r="K24" s="8">
        <v>1.5</v>
      </c>
      <c r="L24" s="8">
        <f t="shared" si="1"/>
        <v>1457.625</v>
      </c>
    </row>
    <row r="25" spans="1:17" x14ac:dyDescent="0.3">
      <c r="A25" s="14" t="s">
        <v>260</v>
      </c>
      <c r="B25" s="15">
        <v>1</v>
      </c>
      <c r="C25" s="14">
        <v>1169.2</v>
      </c>
      <c r="D25" s="51">
        <v>1.6</v>
      </c>
      <c r="E25" s="51">
        <f t="shared" si="2"/>
        <v>1870.7200000000003</v>
      </c>
      <c r="F25" s="16">
        <v>1870</v>
      </c>
      <c r="G25" s="23">
        <v>1.95</v>
      </c>
      <c r="H25" s="27">
        <f t="shared" si="0"/>
        <v>2279.94</v>
      </c>
      <c r="I25" s="29">
        <v>2280</v>
      </c>
      <c r="J25" s="13">
        <v>1760</v>
      </c>
      <c r="K25" s="8">
        <v>1.5</v>
      </c>
      <c r="L25" s="8">
        <f t="shared" si="1"/>
        <v>1753.8000000000002</v>
      </c>
    </row>
    <row r="26" spans="1:17" x14ac:dyDescent="0.3">
      <c r="A26" s="14" t="s">
        <v>343</v>
      </c>
      <c r="B26" s="15">
        <v>1</v>
      </c>
      <c r="C26" s="14">
        <v>1000</v>
      </c>
      <c r="D26" s="51">
        <v>1.6</v>
      </c>
      <c r="E26" s="51">
        <f t="shared" si="2"/>
        <v>1600</v>
      </c>
      <c r="F26" s="16">
        <v>1600</v>
      </c>
      <c r="G26" s="23">
        <v>1.95</v>
      </c>
      <c r="H26" s="27">
        <f t="shared" si="0"/>
        <v>1950</v>
      </c>
      <c r="I26" s="29">
        <v>1950</v>
      </c>
      <c r="J26" s="13">
        <v>1500</v>
      </c>
      <c r="K26" s="8">
        <v>1.5</v>
      </c>
      <c r="L26" s="8">
        <f t="shared" si="1"/>
        <v>1500</v>
      </c>
    </row>
    <row r="27" spans="1:17" x14ac:dyDescent="0.3">
      <c r="A27" s="14" t="s">
        <v>351</v>
      </c>
      <c r="B27" s="15">
        <v>1</v>
      </c>
      <c r="C27" s="14">
        <v>1500</v>
      </c>
      <c r="D27" s="51">
        <v>1.6</v>
      </c>
      <c r="E27" s="51">
        <f t="shared" si="2"/>
        <v>2400</v>
      </c>
      <c r="F27" s="16">
        <v>2400</v>
      </c>
      <c r="G27" s="23">
        <v>1.95</v>
      </c>
      <c r="H27" s="27">
        <f t="shared" si="0"/>
        <v>2925</v>
      </c>
      <c r="I27" s="29">
        <v>2930</v>
      </c>
      <c r="J27" s="13">
        <v>2250</v>
      </c>
      <c r="K27" s="8">
        <v>1.5</v>
      </c>
      <c r="L27" s="8">
        <f t="shared" si="1"/>
        <v>2250</v>
      </c>
    </row>
    <row r="28" spans="1:17" x14ac:dyDescent="0.3">
      <c r="A28" s="14" t="s">
        <v>340</v>
      </c>
      <c r="B28" s="15">
        <v>1</v>
      </c>
      <c r="C28" s="14">
        <v>956.97</v>
      </c>
      <c r="D28" s="51">
        <v>1.6</v>
      </c>
      <c r="E28" s="51">
        <f t="shared" si="2"/>
        <v>1531.152</v>
      </c>
      <c r="F28" s="16">
        <v>1540</v>
      </c>
      <c r="G28" s="23">
        <v>1.95</v>
      </c>
      <c r="H28" s="27">
        <f t="shared" si="0"/>
        <v>1866.0915</v>
      </c>
      <c r="I28" s="29">
        <v>1870</v>
      </c>
      <c r="J28" s="13">
        <v>1440</v>
      </c>
      <c r="K28" s="8">
        <v>1.5</v>
      </c>
      <c r="L28" s="8">
        <f t="shared" si="1"/>
        <v>1435.4549999999999</v>
      </c>
    </row>
    <row r="29" spans="1:17" x14ac:dyDescent="0.3">
      <c r="A29" s="14" t="s">
        <v>700</v>
      </c>
      <c r="B29" s="15">
        <v>1</v>
      </c>
      <c r="C29" s="14">
        <v>1626.8</v>
      </c>
      <c r="D29" s="51">
        <v>1.6</v>
      </c>
      <c r="E29" s="51">
        <f t="shared" si="2"/>
        <v>2602.88</v>
      </c>
      <c r="F29" s="16">
        <v>2950</v>
      </c>
      <c r="G29" s="23">
        <v>1.95</v>
      </c>
      <c r="H29" s="27">
        <f t="shared" si="0"/>
        <v>3172.2599999999998</v>
      </c>
      <c r="I29" s="29">
        <v>3600</v>
      </c>
      <c r="J29" s="13">
        <v>2770</v>
      </c>
      <c r="K29" s="8">
        <v>1.5</v>
      </c>
      <c r="L29" s="8">
        <f t="shared" si="1"/>
        <v>2440.1999999999998</v>
      </c>
    </row>
    <row r="30" spans="1:17" x14ac:dyDescent="0.3">
      <c r="A30" s="14" t="s">
        <v>346</v>
      </c>
      <c r="B30" s="15">
        <v>1</v>
      </c>
      <c r="C30" s="15">
        <v>1098.6500000000001</v>
      </c>
      <c r="D30" s="51">
        <v>1.6</v>
      </c>
      <c r="E30" s="51">
        <f t="shared" si="2"/>
        <v>1757.8400000000001</v>
      </c>
      <c r="F30" s="16">
        <v>1760</v>
      </c>
      <c r="G30" s="23">
        <v>1.95</v>
      </c>
      <c r="H30" s="27">
        <f t="shared" si="0"/>
        <v>2142.3675000000003</v>
      </c>
      <c r="I30" s="29">
        <v>2150</v>
      </c>
      <c r="J30" s="13">
        <v>1650</v>
      </c>
      <c r="K30" s="8">
        <v>1.5</v>
      </c>
      <c r="L30" s="8">
        <f t="shared" si="1"/>
        <v>1647.9750000000001</v>
      </c>
    </row>
    <row r="31" spans="1:17" x14ac:dyDescent="0.3">
      <c r="A31" s="14" t="s">
        <v>338</v>
      </c>
      <c r="B31" s="15">
        <v>1</v>
      </c>
      <c r="C31" s="14">
        <v>1386</v>
      </c>
      <c r="D31" s="51">
        <v>1.6</v>
      </c>
      <c r="E31" s="51">
        <f t="shared" si="2"/>
        <v>2217.6</v>
      </c>
      <c r="F31" s="17">
        <v>2220</v>
      </c>
      <c r="G31" s="23">
        <v>1.95</v>
      </c>
      <c r="H31" s="27">
        <f t="shared" si="0"/>
        <v>2702.7</v>
      </c>
      <c r="I31" s="29">
        <v>2700</v>
      </c>
      <c r="J31" s="13">
        <v>2080</v>
      </c>
      <c r="K31" s="8">
        <v>1.5</v>
      </c>
      <c r="L31" s="8">
        <f t="shared" si="1"/>
        <v>2079</v>
      </c>
    </row>
    <row r="32" spans="1:17" x14ac:dyDescent="0.3">
      <c r="A32" s="14" t="s">
        <v>291</v>
      </c>
      <c r="B32" s="15">
        <v>1</v>
      </c>
      <c r="C32" s="14">
        <v>3524.83</v>
      </c>
      <c r="D32" s="51">
        <v>1.6</v>
      </c>
      <c r="E32" s="51">
        <f t="shared" si="2"/>
        <v>5639.7280000000001</v>
      </c>
      <c r="F32" s="17">
        <v>5640</v>
      </c>
      <c r="G32" s="23">
        <v>1.95</v>
      </c>
      <c r="H32" s="27">
        <f t="shared" si="0"/>
        <v>6873.4184999999998</v>
      </c>
      <c r="I32" s="29">
        <v>6880</v>
      </c>
      <c r="J32" s="13">
        <v>5290</v>
      </c>
      <c r="K32" s="8">
        <v>1.5</v>
      </c>
      <c r="L32" s="8">
        <f t="shared" si="1"/>
        <v>5287.2449999999999</v>
      </c>
    </row>
    <row r="33" spans="1:12" x14ac:dyDescent="0.3">
      <c r="A33" s="82" t="s">
        <v>54</v>
      </c>
      <c r="B33" s="74"/>
      <c r="C33" s="75"/>
      <c r="D33" s="83"/>
      <c r="E33" s="83"/>
      <c r="F33" s="83"/>
      <c r="G33" s="70"/>
      <c r="H33" s="71"/>
      <c r="I33" s="72"/>
      <c r="J33" s="70"/>
      <c r="K33" s="76"/>
      <c r="L33" s="76"/>
    </row>
    <row r="34" spans="1:12" x14ac:dyDescent="0.3">
      <c r="A34" s="14" t="s">
        <v>361</v>
      </c>
      <c r="B34" s="15" t="s">
        <v>8</v>
      </c>
      <c r="C34" s="14">
        <v>4902.97</v>
      </c>
      <c r="D34" s="51">
        <v>1.6</v>
      </c>
      <c r="E34" s="51">
        <f t="shared" si="2"/>
        <v>7844.7520000000004</v>
      </c>
      <c r="F34" s="17">
        <v>7900</v>
      </c>
      <c r="G34" s="23">
        <v>1.95</v>
      </c>
      <c r="H34" s="27">
        <f t="shared" si="0"/>
        <v>9560.7915000000012</v>
      </c>
      <c r="I34" s="29">
        <v>9600</v>
      </c>
      <c r="J34" s="13">
        <v>7400</v>
      </c>
      <c r="K34" s="8">
        <v>1.5</v>
      </c>
      <c r="L34" s="8">
        <f t="shared" si="1"/>
        <v>7354.4549999999999</v>
      </c>
    </row>
    <row r="35" spans="1:12" x14ac:dyDescent="0.3">
      <c r="A35" s="14" t="s">
        <v>263</v>
      </c>
      <c r="B35" s="15" t="s">
        <v>8</v>
      </c>
      <c r="C35" s="14">
        <v>6234.37</v>
      </c>
      <c r="D35" s="51">
        <v>1.6</v>
      </c>
      <c r="E35" s="51">
        <f t="shared" si="2"/>
        <v>9974.9920000000002</v>
      </c>
      <c r="F35" s="16">
        <v>10000</v>
      </c>
      <c r="G35" s="23">
        <v>1.95</v>
      </c>
      <c r="H35" s="27">
        <f t="shared" si="0"/>
        <v>12157.021499999999</v>
      </c>
      <c r="I35" s="29">
        <v>12200</v>
      </c>
      <c r="J35" s="13">
        <v>9400</v>
      </c>
      <c r="K35" s="8">
        <v>1.5</v>
      </c>
      <c r="L35" s="8">
        <f t="shared" si="1"/>
        <v>9351.5550000000003</v>
      </c>
    </row>
    <row r="36" spans="1:12" x14ac:dyDescent="0.3">
      <c r="A36" s="14" t="s">
        <v>347</v>
      </c>
      <c r="B36" s="15" t="s">
        <v>8</v>
      </c>
      <c r="C36" s="14">
        <v>9457.14</v>
      </c>
      <c r="D36" s="51">
        <v>1.6</v>
      </c>
      <c r="E36" s="51">
        <f t="shared" si="2"/>
        <v>15131.423999999999</v>
      </c>
      <c r="F36" s="16">
        <v>15140</v>
      </c>
      <c r="G36" s="23">
        <v>1.95</v>
      </c>
      <c r="H36" s="27">
        <f t="shared" si="0"/>
        <v>18441.422999999999</v>
      </c>
      <c r="I36" s="29">
        <v>18450</v>
      </c>
      <c r="J36" s="13">
        <v>14190</v>
      </c>
      <c r="K36" s="8">
        <v>1.5</v>
      </c>
      <c r="L36" s="8">
        <f t="shared" si="1"/>
        <v>14185.71</v>
      </c>
    </row>
    <row r="37" spans="1:12" x14ac:dyDescent="0.3">
      <c r="A37" s="14" t="s">
        <v>352</v>
      </c>
      <c r="B37" s="15" t="s">
        <v>8</v>
      </c>
      <c r="C37" s="14">
        <v>5542.41</v>
      </c>
      <c r="D37" s="51">
        <v>1.6</v>
      </c>
      <c r="E37" s="51">
        <f t="shared" si="2"/>
        <v>8867.8559999999998</v>
      </c>
      <c r="F37" s="16">
        <v>8900</v>
      </c>
      <c r="G37" s="23">
        <v>1.95</v>
      </c>
      <c r="H37" s="27">
        <f t="shared" si="0"/>
        <v>10807.699499999999</v>
      </c>
      <c r="I37" s="29">
        <v>10800</v>
      </c>
      <c r="J37" s="13">
        <v>8350</v>
      </c>
      <c r="K37" s="8">
        <v>1.5</v>
      </c>
      <c r="L37" s="8">
        <f t="shared" si="1"/>
        <v>8313.6149999999998</v>
      </c>
    </row>
    <row r="38" spans="1:12" x14ac:dyDescent="0.3">
      <c r="A38" s="14" t="s">
        <v>364</v>
      </c>
      <c r="B38" s="15" t="s">
        <v>8</v>
      </c>
      <c r="C38" s="14">
        <v>3463.88</v>
      </c>
      <c r="D38" s="51">
        <v>1.6</v>
      </c>
      <c r="E38" s="51">
        <f t="shared" si="2"/>
        <v>5542.2080000000005</v>
      </c>
      <c r="F38" s="16">
        <v>5550</v>
      </c>
      <c r="G38" s="23">
        <v>1.95</v>
      </c>
      <c r="H38" s="27">
        <f t="shared" si="0"/>
        <v>6754.5659999999998</v>
      </c>
      <c r="I38" s="29">
        <v>6780</v>
      </c>
      <c r="J38" s="13">
        <v>5200</v>
      </c>
      <c r="K38" s="8">
        <v>1.5</v>
      </c>
      <c r="L38" s="8">
        <f t="shared" si="1"/>
        <v>5195.82</v>
      </c>
    </row>
    <row r="39" spans="1:12" x14ac:dyDescent="0.3">
      <c r="A39" s="14" t="s">
        <v>55</v>
      </c>
      <c r="B39" s="15">
        <v>1</v>
      </c>
      <c r="C39" s="14"/>
      <c r="D39" s="51">
        <v>1.6</v>
      </c>
      <c r="E39" s="51">
        <f t="shared" si="2"/>
        <v>0</v>
      </c>
      <c r="F39" s="16">
        <v>2000</v>
      </c>
      <c r="G39" s="23">
        <v>1.95</v>
      </c>
      <c r="H39" s="27">
        <f t="shared" si="0"/>
        <v>0</v>
      </c>
      <c r="I39" s="29">
        <v>2600</v>
      </c>
      <c r="J39" s="13">
        <v>1900</v>
      </c>
      <c r="K39" s="8">
        <v>1.5</v>
      </c>
      <c r="L39" s="8">
        <f t="shared" si="1"/>
        <v>0</v>
      </c>
    </row>
    <row r="40" spans="1:12" x14ac:dyDescent="0.3">
      <c r="A40" s="82" t="s">
        <v>56</v>
      </c>
      <c r="B40" s="75"/>
      <c r="C40" s="75"/>
      <c r="D40" s="83"/>
      <c r="E40" s="83"/>
      <c r="F40" s="75"/>
      <c r="G40" s="70"/>
      <c r="H40" s="71"/>
      <c r="I40" s="72"/>
      <c r="J40" s="70"/>
      <c r="K40" s="76"/>
      <c r="L40" s="76"/>
    </row>
    <row r="41" spans="1:12" x14ac:dyDescent="0.3">
      <c r="A41" s="14" t="s">
        <v>57</v>
      </c>
      <c r="B41" s="14">
        <v>1</v>
      </c>
      <c r="C41" s="14">
        <v>682.44</v>
      </c>
      <c r="D41" s="51">
        <v>1.6</v>
      </c>
      <c r="E41" s="51">
        <f t="shared" si="2"/>
        <v>1091.9040000000002</v>
      </c>
      <c r="F41" s="16">
        <v>1100</v>
      </c>
      <c r="G41" s="23">
        <v>1.95</v>
      </c>
      <c r="H41" s="27">
        <f t="shared" si="0"/>
        <v>1330.758</v>
      </c>
      <c r="I41" s="29">
        <v>1330</v>
      </c>
      <c r="J41" s="13">
        <v>1030</v>
      </c>
      <c r="K41" s="8">
        <v>1.5</v>
      </c>
      <c r="L41" s="8">
        <f t="shared" si="1"/>
        <v>1023.6600000000001</v>
      </c>
    </row>
    <row r="42" spans="1:12" x14ac:dyDescent="0.3">
      <c r="A42" s="14" t="s">
        <v>366</v>
      </c>
      <c r="B42" s="15">
        <v>1</v>
      </c>
      <c r="C42" s="14">
        <v>600</v>
      </c>
      <c r="D42" s="51">
        <v>1.6</v>
      </c>
      <c r="E42" s="51">
        <f t="shared" si="2"/>
        <v>960</v>
      </c>
      <c r="F42" s="16">
        <v>960</v>
      </c>
      <c r="G42" s="23">
        <v>1.95</v>
      </c>
      <c r="H42" s="27">
        <f t="shared" si="0"/>
        <v>1170</v>
      </c>
      <c r="I42" s="29">
        <v>1170</v>
      </c>
      <c r="J42" s="13">
        <v>900</v>
      </c>
      <c r="K42" s="8">
        <v>1.5</v>
      </c>
      <c r="L42" s="8">
        <f t="shared" si="1"/>
        <v>900</v>
      </c>
    </row>
    <row r="43" spans="1:12" x14ac:dyDescent="0.3">
      <c r="A43" s="14" t="s">
        <v>58</v>
      </c>
      <c r="B43" s="15">
        <v>1</v>
      </c>
      <c r="C43" s="14">
        <v>700</v>
      </c>
      <c r="D43" s="51">
        <v>1.6</v>
      </c>
      <c r="E43" s="51">
        <f t="shared" si="2"/>
        <v>1120</v>
      </c>
      <c r="F43" s="16">
        <v>1120</v>
      </c>
      <c r="G43" s="23">
        <v>1.95</v>
      </c>
      <c r="H43" s="27">
        <f t="shared" si="0"/>
        <v>1365</v>
      </c>
      <c r="I43" s="29">
        <v>1370</v>
      </c>
      <c r="J43" s="13">
        <v>1050</v>
      </c>
      <c r="K43" s="8">
        <v>1.5</v>
      </c>
      <c r="L43" s="8">
        <f t="shared" si="1"/>
        <v>1050</v>
      </c>
    </row>
    <row r="44" spans="1:12" x14ac:dyDescent="0.3">
      <c r="A44" s="14" t="s">
        <v>60</v>
      </c>
      <c r="B44" s="15">
        <v>1</v>
      </c>
      <c r="C44" s="14">
        <v>654.16999999999996</v>
      </c>
      <c r="D44" s="51">
        <v>1.6</v>
      </c>
      <c r="E44" s="51">
        <f t="shared" si="2"/>
        <v>1046.672</v>
      </c>
      <c r="F44" s="16">
        <v>1050</v>
      </c>
      <c r="G44" s="23">
        <v>1.95</v>
      </c>
      <c r="H44" s="27">
        <f t="shared" si="0"/>
        <v>1275.6315</v>
      </c>
      <c r="I44" s="29">
        <v>1280</v>
      </c>
      <c r="J44" s="13">
        <v>990</v>
      </c>
      <c r="K44" s="8">
        <v>1.5</v>
      </c>
      <c r="L44" s="8">
        <f t="shared" si="1"/>
        <v>981.25499999999988</v>
      </c>
    </row>
    <row r="45" spans="1:12" x14ac:dyDescent="0.3">
      <c r="A45" s="14" t="s">
        <v>367</v>
      </c>
      <c r="B45" s="15">
        <v>1</v>
      </c>
      <c r="C45" s="14">
        <v>604.79999999999995</v>
      </c>
      <c r="D45" s="51">
        <v>1.6</v>
      </c>
      <c r="E45" s="51">
        <f t="shared" si="2"/>
        <v>967.68</v>
      </c>
      <c r="F45" s="16">
        <v>970</v>
      </c>
      <c r="G45" s="23">
        <v>1.95</v>
      </c>
      <c r="H45" s="27">
        <f t="shared" si="0"/>
        <v>1179.3599999999999</v>
      </c>
      <c r="I45" s="29">
        <v>1180</v>
      </c>
      <c r="J45" s="13">
        <v>910</v>
      </c>
      <c r="K45" s="8">
        <v>1.5</v>
      </c>
      <c r="L45" s="8">
        <f t="shared" si="1"/>
        <v>907.19999999999993</v>
      </c>
    </row>
    <row r="46" spans="1:12" x14ac:dyDescent="0.3">
      <c r="A46" s="14" t="s">
        <v>62</v>
      </c>
      <c r="B46" s="15">
        <v>1</v>
      </c>
      <c r="C46" s="14">
        <v>100</v>
      </c>
      <c r="D46" s="51">
        <v>1.6</v>
      </c>
      <c r="E46" s="51">
        <f t="shared" si="2"/>
        <v>160</v>
      </c>
      <c r="F46" s="18">
        <v>160</v>
      </c>
      <c r="G46" s="23">
        <v>1.95</v>
      </c>
      <c r="H46" s="27">
        <f t="shared" si="0"/>
        <v>195</v>
      </c>
      <c r="I46" s="29">
        <v>200</v>
      </c>
      <c r="J46" s="13">
        <v>150</v>
      </c>
      <c r="K46" s="8">
        <v>1.5</v>
      </c>
      <c r="L46" s="8">
        <f t="shared" si="1"/>
        <v>150</v>
      </c>
    </row>
    <row r="47" spans="1:12" x14ac:dyDescent="0.3">
      <c r="A47" s="14" t="s">
        <v>63</v>
      </c>
      <c r="B47" s="15">
        <v>1</v>
      </c>
      <c r="C47" s="14">
        <v>450</v>
      </c>
      <c r="D47" s="51">
        <v>1.6</v>
      </c>
      <c r="E47" s="51">
        <f t="shared" si="2"/>
        <v>720</v>
      </c>
      <c r="F47" s="16">
        <v>720</v>
      </c>
      <c r="G47" s="23">
        <v>1.95</v>
      </c>
      <c r="H47" s="27">
        <f t="shared" si="0"/>
        <v>877.5</v>
      </c>
      <c r="I47" s="29">
        <v>880</v>
      </c>
      <c r="J47" s="13">
        <v>680</v>
      </c>
      <c r="K47" s="8">
        <v>1.5</v>
      </c>
      <c r="L47" s="8">
        <f t="shared" si="1"/>
        <v>675</v>
      </c>
    </row>
    <row r="48" spans="1:12" x14ac:dyDescent="0.3">
      <c r="A48" s="14" t="s">
        <v>64</v>
      </c>
      <c r="B48" s="15">
        <v>1</v>
      </c>
      <c r="C48" s="14">
        <v>6904.3</v>
      </c>
      <c r="D48" s="51">
        <v>1.6</v>
      </c>
      <c r="E48" s="51">
        <f t="shared" si="2"/>
        <v>11046.880000000001</v>
      </c>
      <c r="F48" s="16">
        <v>11100</v>
      </c>
      <c r="G48" s="23">
        <v>1.95</v>
      </c>
      <c r="H48" s="27">
        <f t="shared" si="0"/>
        <v>13463.385</v>
      </c>
      <c r="I48" s="29">
        <v>13470</v>
      </c>
      <c r="J48" s="13">
        <v>10360</v>
      </c>
      <c r="K48" s="8">
        <v>1.5</v>
      </c>
      <c r="L48" s="8">
        <f t="shared" si="1"/>
        <v>10356.450000000001</v>
      </c>
    </row>
    <row r="49" spans="1:12" x14ac:dyDescent="0.3">
      <c r="A49" s="14" t="s">
        <v>65</v>
      </c>
      <c r="B49" s="15">
        <v>1</v>
      </c>
      <c r="C49" s="14">
        <v>1269.78</v>
      </c>
      <c r="D49" s="51">
        <v>1.6</v>
      </c>
      <c r="E49" s="51">
        <f t="shared" si="2"/>
        <v>2031.6480000000001</v>
      </c>
      <c r="F49" s="16">
        <v>2040</v>
      </c>
      <c r="G49" s="23">
        <v>1.95</v>
      </c>
      <c r="H49" s="27">
        <f t="shared" si="0"/>
        <v>2476.0709999999999</v>
      </c>
      <c r="I49" s="29">
        <v>2480</v>
      </c>
      <c r="J49" s="13">
        <v>1910</v>
      </c>
      <c r="K49" s="8">
        <v>1.5</v>
      </c>
      <c r="L49" s="8">
        <f t="shared" si="1"/>
        <v>1904.67</v>
      </c>
    </row>
    <row r="50" spans="1:12" x14ac:dyDescent="0.3">
      <c r="A50" s="14" t="s">
        <v>319</v>
      </c>
      <c r="B50" s="15">
        <v>1</v>
      </c>
      <c r="C50" s="14">
        <v>1745.88</v>
      </c>
      <c r="D50" s="51">
        <v>1.6</v>
      </c>
      <c r="E50" s="51">
        <f t="shared" si="2"/>
        <v>2793.4080000000004</v>
      </c>
      <c r="F50" s="16"/>
      <c r="G50" s="23">
        <v>1.95</v>
      </c>
      <c r="H50" s="27">
        <f t="shared" si="0"/>
        <v>3404.4660000000003</v>
      </c>
      <c r="I50" s="29"/>
      <c r="J50" s="13"/>
      <c r="K50" s="8">
        <v>1.5</v>
      </c>
      <c r="L50" s="8">
        <f t="shared" si="1"/>
        <v>2618.8200000000002</v>
      </c>
    </row>
    <row r="51" spans="1:12" x14ac:dyDescent="0.3">
      <c r="A51" s="14" t="s">
        <v>318</v>
      </c>
      <c r="B51" s="15">
        <v>1</v>
      </c>
      <c r="C51" s="14">
        <v>1114.83</v>
      </c>
      <c r="D51" s="51">
        <v>1.6</v>
      </c>
      <c r="E51" s="51">
        <f t="shared" si="2"/>
        <v>1783.7280000000001</v>
      </c>
      <c r="F51" s="16"/>
      <c r="G51" s="23">
        <v>1.95</v>
      </c>
      <c r="H51" s="27">
        <f t="shared" si="0"/>
        <v>2173.9184999999998</v>
      </c>
      <c r="I51" s="29"/>
      <c r="J51" s="13"/>
      <c r="K51" s="8">
        <v>1.5</v>
      </c>
      <c r="L51" s="8">
        <f t="shared" si="1"/>
        <v>1672.2449999999999</v>
      </c>
    </row>
    <row r="52" spans="1:12" x14ac:dyDescent="0.3">
      <c r="A52" s="14" t="s">
        <v>66</v>
      </c>
      <c r="B52" s="15">
        <v>1</v>
      </c>
      <c r="C52" s="14">
        <v>8019.65</v>
      </c>
      <c r="D52" s="51">
        <v>1.6</v>
      </c>
      <c r="E52" s="51">
        <f t="shared" si="2"/>
        <v>12831.44</v>
      </c>
      <c r="F52" s="16">
        <v>12900</v>
      </c>
      <c r="G52" s="23">
        <v>1.95</v>
      </c>
      <c r="H52" s="27">
        <f t="shared" si="0"/>
        <v>15638.317499999999</v>
      </c>
      <c r="I52" s="29">
        <v>15640</v>
      </c>
      <c r="J52" s="13">
        <v>12030</v>
      </c>
      <c r="K52" s="8">
        <v>1.5</v>
      </c>
      <c r="L52" s="8">
        <f t="shared" si="1"/>
        <v>12029.474999999999</v>
      </c>
    </row>
    <row r="53" spans="1:12" x14ac:dyDescent="0.3">
      <c r="A53" s="14" t="s">
        <v>275</v>
      </c>
      <c r="B53" s="15">
        <v>1</v>
      </c>
      <c r="C53" s="14">
        <v>280</v>
      </c>
      <c r="D53" s="51">
        <v>1.6</v>
      </c>
      <c r="E53" s="51">
        <f t="shared" si="2"/>
        <v>448</v>
      </c>
      <c r="F53" s="16">
        <v>450</v>
      </c>
      <c r="G53" s="23">
        <v>1.95</v>
      </c>
      <c r="H53" s="27">
        <f t="shared" si="0"/>
        <v>546</v>
      </c>
      <c r="I53" s="29">
        <v>550</v>
      </c>
      <c r="J53" s="13">
        <v>420</v>
      </c>
      <c r="K53" s="8">
        <v>1.5</v>
      </c>
      <c r="L53" s="8">
        <f t="shared" si="1"/>
        <v>420</v>
      </c>
    </row>
    <row r="54" spans="1:12" x14ac:dyDescent="0.3">
      <c r="A54" s="14" t="s">
        <v>276</v>
      </c>
      <c r="B54" s="15">
        <v>1</v>
      </c>
      <c r="C54" s="14">
        <v>1556.95</v>
      </c>
      <c r="D54" s="51">
        <v>1.6</v>
      </c>
      <c r="E54" s="51">
        <f t="shared" si="2"/>
        <v>2491.1200000000003</v>
      </c>
      <c r="F54" s="16">
        <v>2500</v>
      </c>
      <c r="G54" s="23">
        <v>1.95</v>
      </c>
      <c r="H54" s="27">
        <f t="shared" si="0"/>
        <v>3036.0525000000002</v>
      </c>
      <c r="I54" s="29">
        <v>3040</v>
      </c>
      <c r="J54" s="13">
        <v>2340</v>
      </c>
      <c r="K54" s="8">
        <v>1.5</v>
      </c>
      <c r="L54" s="8">
        <f t="shared" si="1"/>
        <v>2335.4250000000002</v>
      </c>
    </row>
    <row r="55" spans="1:12" x14ac:dyDescent="0.3">
      <c r="A55" s="14" t="s">
        <v>69</v>
      </c>
      <c r="B55" s="15">
        <v>1</v>
      </c>
      <c r="C55" s="14">
        <v>1737.59</v>
      </c>
      <c r="D55" s="51">
        <v>1.6</v>
      </c>
      <c r="E55" s="51">
        <f t="shared" si="2"/>
        <v>2780.1440000000002</v>
      </c>
      <c r="F55" s="16">
        <v>2780</v>
      </c>
      <c r="G55" s="23">
        <v>1.95</v>
      </c>
      <c r="H55" s="27">
        <f t="shared" si="0"/>
        <v>3388.3004999999998</v>
      </c>
      <c r="I55" s="29">
        <v>3400</v>
      </c>
      <c r="J55" s="13">
        <v>2610</v>
      </c>
      <c r="K55" s="8">
        <v>1.5</v>
      </c>
      <c r="L55" s="8">
        <f t="shared" si="1"/>
        <v>2606.3849999999998</v>
      </c>
    </row>
    <row r="56" spans="1:12" x14ac:dyDescent="0.3">
      <c r="A56" s="82" t="s">
        <v>71</v>
      </c>
      <c r="B56" s="74"/>
      <c r="C56" s="75"/>
      <c r="D56" s="83"/>
      <c r="E56" s="83"/>
      <c r="F56" s="75"/>
      <c r="G56" s="70"/>
      <c r="H56" s="71"/>
      <c r="I56" s="72"/>
      <c r="J56" s="70"/>
      <c r="K56" s="76"/>
      <c r="L56" s="76"/>
    </row>
    <row r="57" spans="1:12" x14ac:dyDescent="0.3">
      <c r="A57" s="14" t="s">
        <v>335</v>
      </c>
      <c r="B57" s="15">
        <v>50</v>
      </c>
      <c r="C57" s="14">
        <v>12061</v>
      </c>
      <c r="D57" s="51">
        <v>1.6</v>
      </c>
      <c r="E57" s="51">
        <f t="shared" si="2"/>
        <v>19297.600000000002</v>
      </c>
      <c r="F57" s="16"/>
      <c r="G57" s="23">
        <v>1.95</v>
      </c>
      <c r="H57" s="27">
        <f t="shared" si="0"/>
        <v>23518.95</v>
      </c>
      <c r="I57" s="29"/>
      <c r="J57" s="13"/>
      <c r="K57" s="8">
        <v>1.5</v>
      </c>
      <c r="L57" s="8">
        <f t="shared" si="1"/>
        <v>18091.5</v>
      </c>
    </row>
    <row r="58" spans="1:12" x14ac:dyDescent="0.3">
      <c r="A58" s="14" t="s">
        <v>73</v>
      </c>
      <c r="B58" s="15">
        <v>50</v>
      </c>
      <c r="C58" s="14">
        <v>5911.92</v>
      </c>
      <c r="D58" s="51">
        <v>1.6</v>
      </c>
      <c r="E58" s="51">
        <f t="shared" si="2"/>
        <v>9459.0720000000001</v>
      </c>
      <c r="F58" s="16">
        <v>9500</v>
      </c>
      <c r="G58" s="23">
        <v>1.95</v>
      </c>
      <c r="H58" s="27">
        <f t="shared" si="0"/>
        <v>11528.244000000001</v>
      </c>
      <c r="I58" s="29">
        <v>11530</v>
      </c>
      <c r="J58" s="13">
        <v>8870</v>
      </c>
      <c r="K58" s="8">
        <v>1.5</v>
      </c>
      <c r="L58" s="8">
        <f t="shared" si="1"/>
        <v>8867.880000000001</v>
      </c>
    </row>
    <row r="59" spans="1:12" x14ac:dyDescent="0.3">
      <c r="A59" s="14" t="s">
        <v>74</v>
      </c>
      <c r="B59" s="15">
        <v>1</v>
      </c>
      <c r="C59" s="14">
        <v>1295.3699999999999</v>
      </c>
      <c r="D59" s="51">
        <v>1.6</v>
      </c>
      <c r="E59" s="51">
        <f t="shared" si="2"/>
        <v>2072.5920000000001</v>
      </c>
      <c r="F59" s="16">
        <v>2080</v>
      </c>
      <c r="G59" s="23">
        <v>1.95</v>
      </c>
      <c r="H59" s="27">
        <f t="shared" si="0"/>
        <v>2525.9714999999997</v>
      </c>
      <c r="I59" s="29">
        <v>2530</v>
      </c>
      <c r="J59" s="13">
        <v>1950</v>
      </c>
      <c r="K59" s="8">
        <v>1.5</v>
      </c>
      <c r="L59" s="8">
        <f t="shared" si="1"/>
        <v>1943.0549999999998</v>
      </c>
    </row>
    <row r="60" spans="1:12" x14ac:dyDescent="0.3">
      <c r="A60" s="82" t="s">
        <v>75</v>
      </c>
      <c r="B60" s="74"/>
      <c r="C60" s="75"/>
      <c r="D60" s="83"/>
      <c r="E60" s="83"/>
      <c r="F60" s="75"/>
      <c r="G60" s="70"/>
      <c r="H60" s="71"/>
      <c r="I60" s="72"/>
      <c r="J60" s="70"/>
      <c r="K60" s="76"/>
      <c r="L60" s="76"/>
    </row>
    <row r="61" spans="1:12" x14ac:dyDescent="0.3">
      <c r="A61" s="14" t="s">
        <v>76</v>
      </c>
      <c r="B61" s="15">
        <v>100</v>
      </c>
      <c r="C61" s="14">
        <v>703</v>
      </c>
      <c r="D61" s="51">
        <v>1.6</v>
      </c>
      <c r="E61" s="51">
        <f t="shared" si="2"/>
        <v>1124.8</v>
      </c>
      <c r="F61" s="16">
        <v>1150</v>
      </c>
      <c r="G61" s="23">
        <v>1.95</v>
      </c>
      <c r="H61" s="27">
        <f t="shared" si="0"/>
        <v>1370.85</v>
      </c>
      <c r="I61" s="29">
        <v>1370</v>
      </c>
      <c r="J61" s="13">
        <v>1060</v>
      </c>
      <c r="K61" s="8">
        <v>1.5</v>
      </c>
      <c r="L61" s="8">
        <f t="shared" si="1"/>
        <v>1054.5</v>
      </c>
    </row>
    <row r="62" spans="1:12" x14ac:dyDescent="0.3">
      <c r="A62" s="14" t="s">
        <v>77</v>
      </c>
      <c r="B62" s="15">
        <v>100</v>
      </c>
      <c r="C62" s="14">
        <v>822</v>
      </c>
      <c r="D62" s="51">
        <v>1.6</v>
      </c>
      <c r="E62" s="51">
        <f t="shared" si="2"/>
        <v>1315.2</v>
      </c>
      <c r="F62" s="16">
        <v>1350</v>
      </c>
      <c r="G62" s="23">
        <v>1.95</v>
      </c>
      <c r="H62" s="27">
        <f t="shared" si="0"/>
        <v>1602.8999999999999</v>
      </c>
      <c r="I62" s="29">
        <v>1600</v>
      </c>
      <c r="J62" s="13">
        <v>1250</v>
      </c>
      <c r="K62" s="8">
        <v>1.5</v>
      </c>
      <c r="L62" s="8">
        <f t="shared" si="1"/>
        <v>1233</v>
      </c>
    </row>
    <row r="63" spans="1:12" x14ac:dyDescent="0.3">
      <c r="A63" s="14" t="s">
        <v>78</v>
      </c>
      <c r="B63" s="15">
        <v>100</v>
      </c>
      <c r="C63" s="14">
        <v>902</v>
      </c>
      <c r="D63" s="51">
        <v>1.6</v>
      </c>
      <c r="E63" s="51">
        <f t="shared" si="2"/>
        <v>1443.2</v>
      </c>
      <c r="F63" s="16">
        <v>1450</v>
      </c>
      <c r="G63" s="23">
        <v>1.95</v>
      </c>
      <c r="H63" s="27">
        <f t="shared" si="0"/>
        <v>1758.8999999999999</v>
      </c>
      <c r="I63" s="29">
        <v>1760</v>
      </c>
      <c r="J63" s="13">
        <v>1360</v>
      </c>
      <c r="K63" s="8">
        <v>1.5</v>
      </c>
      <c r="L63" s="8">
        <f t="shared" si="1"/>
        <v>1353</v>
      </c>
    </row>
    <row r="64" spans="1:12" x14ac:dyDescent="0.3">
      <c r="A64" s="14" t="s">
        <v>79</v>
      </c>
      <c r="B64" s="15">
        <v>100</v>
      </c>
      <c r="C64" s="14">
        <v>1339</v>
      </c>
      <c r="D64" s="51">
        <v>1.6</v>
      </c>
      <c r="E64" s="51">
        <f t="shared" si="2"/>
        <v>2142.4</v>
      </c>
      <c r="F64" s="16">
        <v>2150</v>
      </c>
      <c r="G64" s="23">
        <v>1.95</v>
      </c>
      <c r="H64" s="27">
        <f t="shared" si="0"/>
        <v>2611.0499999999997</v>
      </c>
      <c r="I64" s="29">
        <v>2620</v>
      </c>
      <c r="J64" s="13">
        <v>2000</v>
      </c>
      <c r="K64" s="8">
        <v>1.5</v>
      </c>
      <c r="L64" s="8">
        <f t="shared" si="1"/>
        <v>2008.5</v>
      </c>
    </row>
    <row r="65" spans="1:12" x14ac:dyDescent="0.3">
      <c r="A65" s="14" t="s">
        <v>80</v>
      </c>
      <c r="B65" s="15">
        <v>100</v>
      </c>
      <c r="C65" s="14">
        <v>1918</v>
      </c>
      <c r="D65" s="51">
        <v>1.6</v>
      </c>
      <c r="E65" s="51">
        <f t="shared" si="2"/>
        <v>3068.8</v>
      </c>
      <c r="F65" s="16">
        <v>3070</v>
      </c>
      <c r="G65" s="23">
        <v>1.95</v>
      </c>
      <c r="H65" s="27">
        <f t="shared" si="0"/>
        <v>3740.1</v>
      </c>
      <c r="I65" s="29">
        <v>3740</v>
      </c>
      <c r="J65" s="13">
        <v>2880</v>
      </c>
      <c r="K65" s="8">
        <v>1.5</v>
      </c>
      <c r="L65" s="8">
        <f t="shared" si="1"/>
        <v>2877</v>
      </c>
    </row>
    <row r="66" spans="1:12" x14ac:dyDescent="0.3">
      <c r="A66" s="14" t="s">
        <v>81</v>
      </c>
      <c r="B66" s="15">
        <v>100</v>
      </c>
      <c r="C66" s="14">
        <v>2557</v>
      </c>
      <c r="D66" s="51">
        <v>1.6</v>
      </c>
      <c r="E66" s="51">
        <f t="shared" si="2"/>
        <v>4091.2000000000003</v>
      </c>
      <c r="F66" s="16">
        <v>4100</v>
      </c>
      <c r="G66" s="23">
        <v>1.95</v>
      </c>
      <c r="H66" s="27">
        <f t="shared" si="0"/>
        <v>4986.1499999999996</v>
      </c>
      <c r="I66" s="29">
        <v>4990</v>
      </c>
      <c r="J66" s="13">
        <v>3850</v>
      </c>
      <c r="K66" s="8">
        <v>1.5</v>
      </c>
      <c r="L66" s="8">
        <f t="shared" si="1"/>
        <v>3835.5</v>
      </c>
    </row>
    <row r="67" spans="1:12" x14ac:dyDescent="0.3">
      <c r="A67" s="14" t="s">
        <v>82</v>
      </c>
      <c r="B67" s="15">
        <v>100</v>
      </c>
      <c r="C67" s="14">
        <v>3269</v>
      </c>
      <c r="D67" s="51">
        <v>1.6</v>
      </c>
      <c r="E67" s="51">
        <f t="shared" si="2"/>
        <v>5230.4000000000005</v>
      </c>
      <c r="F67" s="16">
        <v>5230</v>
      </c>
      <c r="G67" s="23">
        <v>1.95</v>
      </c>
      <c r="H67" s="27">
        <f t="shared" si="0"/>
        <v>6374.55</v>
      </c>
      <c r="I67" s="29">
        <v>6380</v>
      </c>
      <c r="J67" s="13">
        <v>4900</v>
      </c>
      <c r="K67" s="8">
        <v>1.5</v>
      </c>
      <c r="L67" s="8">
        <f t="shared" si="1"/>
        <v>4903.5</v>
      </c>
    </row>
    <row r="68" spans="1:12" x14ac:dyDescent="0.3">
      <c r="A68" s="14" t="s">
        <v>83</v>
      </c>
      <c r="B68" s="15">
        <v>100</v>
      </c>
      <c r="C68" s="14">
        <v>2636.54</v>
      </c>
      <c r="D68" s="51">
        <v>1.6</v>
      </c>
      <c r="E68" s="51">
        <f t="shared" si="2"/>
        <v>4218.4639999999999</v>
      </c>
      <c r="F68" s="16">
        <v>4200</v>
      </c>
      <c r="G68" s="23">
        <v>1.95</v>
      </c>
      <c r="H68" s="27">
        <f t="shared" si="0"/>
        <v>5141.2529999999997</v>
      </c>
      <c r="I68" s="29">
        <v>5150</v>
      </c>
      <c r="J68" s="13">
        <v>3960</v>
      </c>
      <c r="K68" s="8">
        <v>1.5</v>
      </c>
      <c r="L68" s="8">
        <f t="shared" si="1"/>
        <v>3954.81</v>
      </c>
    </row>
    <row r="69" spans="1:12" x14ac:dyDescent="0.3">
      <c r="A69" s="82" t="s">
        <v>84</v>
      </c>
      <c r="B69" s="74"/>
      <c r="C69" s="75"/>
      <c r="D69" s="83"/>
      <c r="E69" s="83"/>
      <c r="F69" s="75"/>
      <c r="G69" s="70"/>
      <c r="H69" s="71"/>
      <c r="I69" s="72"/>
      <c r="J69" s="70"/>
      <c r="K69" s="76"/>
      <c r="L69" s="76"/>
    </row>
    <row r="70" spans="1:12" x14ac:dyDescent="0.3">
      <c r="A70" s="14" t="s">
        <v>85</v>
      </c>
      <c r="B70" s="15">
        <v>1</v>
      </c>
      <c r="C70" s="14">
        <v>3539.05</v>
      </c>
      <c r="D70" s="51">
        <v>1.6</v>
      </c>
      <c r="E70" s="51">
        <f t="shared" si="2"/>
        <v>5662.4800000000005</v>
      </c>
      <c r="F70" s="19">
        <v>5670</v>
      </c>
      <c r="G70" s="23">
        <v>1.95</v>
      </c>
      <c r="H70" s="27">
        <f t="shared" si="0"/>
        <v>6901.1475</v>
      </c>
      <c r="I70" s="29">
        <v>6900</v>
      </c>
      <c r="J70" s="13">
        <v>5300</v>
      </c>
      <c r="K70" s="8">
        <v>1.5</v>
      </c>
      <c r="L70" s="8">
        <f t="shared" si="1"/>
        <v>5308.5750000000007</v>
      </c>
    </row>
    <row r="71" spans="1:12" x14ac:dyDescent="0.3">
      <c r="A71" s="14" t="s">
        <v>86</v>
      </c>
      <c r="B71" s="15">
        <v>1</v>
      </c>
      <c r="C71" s="14">
        <v>4954.5600000000004</v>
      </c>
      <c r="D71" s="51">
        <v>1.6</v>
      </c>
      <c r="E71" s="51">
        <f t="shared" si="2"/>
        <v>7927.2960000000012</v>
      </c>
      <c r="F71" s="19">
        <v>7930</v>
      </c>
      <c r="G71" s="23">
        <v>1.95</v>
      </c>
      <c r="H71" s="27">
        <f t="shared" si="0"/>
        <v>9661.3919999999998</v>
      </c>
      <c r="I71" s="29">
        <v>9660</v>
      </c>
      <c r="J71" s="13">
        <v>7440</v>
      </c>
      <c r="K71" s="8">
        <v>1.5</v>
      </c>
      <c r="L71" s="8">
        <f t="shared" si="1"/>
        <v>7431.84</v>
      </c>
    </row>
    <row r="72" spans="1:12" x14ac:dyDescent="0.3">
      <c r="A72" s="14" t="s">
        <v>87</v>
      </c>
      <c r="B72" s="15">
        <v>1</v>
      </c>
      <c r="C72" s="14">
        <v>3326.85</v>
      </c>
      <c r="D72" s="51">
        <v>1.6</v>
      </c>
      <c r="E72" s="51">
        <f t="shared" si="2"/>
        <v>5322.96</v>
      </c>
      <c r="F72" s="16"/>
      <c r="G72" s="23">
        <v>1.95</v>
      </c>
      <c r="H72" s="27">
        <f t="shared" si="0"/>
        <v>6487.3575000000001</v>
      </c>
      <c r="I72" s="29"/>
      <c r="J72" s="13"/>
      <c r="K72" s="8">
        <v>1.5</v>
      </c>
      <c r="L72" s="8">
        <f t="shared" si="1"/>
        <v>4990.2749999999996</v>
      </c>
    </row>
    <row r="73" spans="1:12" x14ac:dyDescent="0.3">
      <c r="A73" s="14" t="s">
        <v>88</v>
      </c>
      <c r="B73" s="15">
        <v>1</v>
      </c>
      <c r="C73" s="14">
        <v>3326.85</v>
      </c>
      <c r="D73" s="51">
        <v>1.6</v>
      </c>
      <c r="E73" s="51">
        <f t="shared" si="2"/>
        <v>5322.96</v>
      </c>
      <c r="F73" s="16"/>
      <c r="G73" s="23">
        <v>1.95</v>
      </c>
      <c r="H73" s="27">
        <f t="shared" si="0"/>
        <v>6487.3575000000001</v>
      </c>
      <c r="I73" s="29"/>
      <c r="J73" s="13"/>
      <c r="K73" s="8">
        <v>1.5</v>
      </c>
      <c r="L73" s="8">
        <f t="shared" si="1"/>
        <v>4990.2749999999996</v>
      </c>
    </row>
    <row r="74" spans="1:12" x14ac:dyDescent="0.3">
      <c r="A74" s="14" t="s">
        <v>89</v>
      </c>
      <c r="B74" s="15">
        <v>1</v>
      </c>
      <c r="C74" s="14">
        <v>3422.31</v>
      </c>
      <c r="D74" s="51">
        <v>1.6</v>
      </c>
      <c r="E74" s="51">
        <f t="shared" si="2"/>
        <v>5475.6959999999999</v>
      </c>
      <c r="F74" s="16"/>
      <c r="G74" s="23">
        <v>1.95</v>
      </c>
      <c r="H74" s="27">
        <f t="shared" si="0"/>
        <v>6673.5045</v>
      </c>
      <c r="I74" s="29"/>
      <c r="J74" s="13"/>
      <c r="K74" s="8">
        <v>1.5</v>
      </c>
      <c r="L74" s="8">
        <f t="shared" si="1"/>
        <v>5133.4650000000001</v>
      </c>
    </row>
    <row r="75" spans="1:12" x14ac:dyDescent="0.3">
      <c r="A75" s="14" t="s">
        <v>90</v>
      </c>
      <c r="B75" s="15">
        <v>1</v>
      </c>
      <c r="C75" s="14">
        <v>2585.77</v>
      </c>
      <c r="D75" s="51">
        <v>1.6</v>
      </c>
      <c r="E75" s="51">
        <f t="shared" si="2"/>
        <v>4137.232</v>
      </c>
      <c r="F75" s="16"/>
      <c r="G75" s="23">
        <v>1.95</v>
      </c>
      <c r="H75" s="27">
        <f t="shared" si="0"/>
        <v>5042.2514999999994</v>
      </c>
      <c r="I75" s="29"/>
      <c r="J75" s="13"/>
      <c r="K75" s="8">
        <v>1.5</v>
      </c>
      <c r="L75" s="8">
        <f t="shared" si="1"/>
        <v>3878.6549999999997</v>
      </c>
    </row>
    <row r="76" spans="1:12" x14ac:dyDescent="0.3">
      <c r="A76" s="82" t="s">
        <v>91</v>
      </c>
      <c r="B76" s="74"/>
      <c r="C76" s="75"/>
      <c r="D76" s="83"/>
      <c r="E76" s="83"/>
      <c r="F76" s="75"/>
      <c r="G76" s="70"/>
      <c r="H76" s="71"/>
      <c r="I76" s="72"/>
      <c r="J76" s="70"/>
      <c r="K76" s="76"/>
      <c r="L76" s="76"/>
    </row>
    <row r="77" spans="1:12" x14ac:dyDescent="0.3">
      <c r="A77" s="14" t="s">
        <v>92</v>
      </c>
      <c r="B77" s="15">
        <v>100</v>
      </c>
      <c r="C77" s="14">
        <v>547.71</v>
      </c>
      <c r="D77" s="51">
        <v>1.6</v>
      </c>
      <c r="E77" s="51">
        <f t="shared" si="2"/>
        <v>876.33600000000013</v>
      </c>
      <c r="F77" s="16">
        <v>880</v>
      </c>
      <c r="G77" s="23">
        <v>1.95</v>
      </c>
      <c r="H77" s="27">
        <f t="shared" si="0"/>
        <v>1068.0345</v>
      </c>
      <c r="I77" s="29">
        <v>1070</v>
      </c>
      <c r="J77" s="13">
        <v>830</v>
      </c>
      <c r="K77" s="8">
        <v>1.5</v>
      </c>
      <c r="L77" s="8">
        <f t="shared" si="1"/>
        <v>821.56500000000005</v>
      </c>
    </row>
    <row r="78" spans="1:12" x14ac:dyDescent="0.3">
      <c r="A78" s="14" t="s">
        <v>93</v>
      </c>
      <c r="B78" s="15">
        <v>100</v>
      </c>
      <c r="C78" s="14">
        <v>852.89</v>
      </c>
      <c r="D78" s="51">
        <v>1.6</v>
      </c>
      <c r="E78" s="51">
        <f t="shared" si="2"/>
        <v>1364.624</v>
      </c>
      <c r="F78" s="16">
        <v>1360</v>
      </c>
      <c r="G78" s="23">
        <v>1.95</v>
      </c>
      <c r="H78" s="27">
        <f t="shared" si="0"/>
        <v>1663.1354999999999</v>
      </c>
      <c r="I78" s="29">
        <v>1660</v>
      </c>
      <c r="J78" s="13">
        <v>1280</v>
      </c>
      <c r="K78" s="8">
        <v>1.5</v>
      </c>
      <c r="L78" s="8">
        <f t="shared" si="1"/>
        <v>1279.335</v>
      </c>
    </row>
    <row r="79" spans="1:12" x14ac:dyDescent="0.3">
      <c r="A79" s="14" t="s">
        <v>94</v>
      </c>
      <c r="B79" s="15">
        <v>100</v>
      </c>
      <c r="C79" s="14">
        <v>587.29</v>
      </c>
      <c r="D79" s="51">
        <v>1.6</v>
      </c>
      <c r="E79" s="51">
        <f t="shared" si="2"/>
        <v>939.66399999999999</v>
      </c>
      <c r="F79" s="16">
        <v>940</v>
      </c>
      <c r="G79" s="23">
        <v>1.95</v>
      </c>
      <c r="H79" s="27">
        <f t="shared" si="0"/>
        <v>1145.2154999999998</v>
      </c>
      <c r="I79" s="29">
        <v>1150</v>
      </c>
      <c r="J79" s="13">
        <v>880</v>
      </c>
      <c r="K79" s="8">
        <v>1.5</v>
      </c>
      <c r="L79" s="8">
        <f t="shared" si="1"/>
        <v>880.93499999999995</v>
      </c>
    </row>
    <row r="80" spans="1:12" x14ac:dyDescent="0.3">
      <c r="A80" s="14" t="s">
        <v>3</v>
      </c>
      <c r="B80" s="15">
        <v>100</v>
      </c>
      <c r="C80" s="14">
        <v>788.28</v>
      </c>
      <c r="D80" s="51">
        <v>1.6</v>
      </c>
      <c r="E80" s="51">
        <f t="shared" si="2"/>
        <v>1261.248</v>
      </c>
      <c r="F80" s="16">
        <v>1270</v>
      </c>
      <c r="G80" s="23">
        <v>1.95</v>
      </c>
      <c r="H80" s="27">
        <f t="shared" si="0"/>
        <v>1537.146</v>
      </c>
      <c r="I80" s="29">
        <v>1540</v>
      </c>
      <c r="J80" s="13">
        <v>1190</v>
      </c>
      <c r="K80" s="8">
        <v>1.5</v>
      </c>
      <c r="L80" s="8">
        <f t="shared" si="1"/>
        <v>1182.42</v>
      </c>
    </row>
    <row r="81" spans="1:12" x14ac:dyDescent="0.3">
      <c r="A81" s="14" t="s">
        <v>9</v>
      </c>
      <c r="B81" s="15">
        <v>100</v>
      </c>
      <c r="C81" s="14">
        <v>1004.72</v>
      </c>
      <c r="D81" s="51">
        <v>1.6</v>
      </c>
      <c r="E81" s="51">
        <f t="shared" si="2"/>
        <v>1607.5520000000001</v>
      </c>
      <c r="F81" s="16">
        <v>1610</v>
      </c>
      <c r="G81" s="23">
        <v>1.95</v>
      </c>
      <c r="H81" s="27">
        <f t="shared" si="0"/>
        <v>1959.204</v>
      </c>
      <c r="I81" s="29">
        <v>1960</v>
      </c>
      <c r="J81" s="13">
        <v>1510</v>
      </c>
      <c r="K81" s="8">
        <v>1.5</v>
      </c>
      <c r="L81" s="8">
        <f t="shared" si="1"/>
        <v>1507.08</v>
      </c>
    </row>
    <row r="82" spans="1:12" x14ac:dyDescent="0.3">
      <c r="A82" s="14" t="s">
        <v>15</v>
      </c>
      <c r="B82" s="15">
        <v>100</v>
      </c>
      <c r="C82" s="14">
        <v>1437.59</v>
      </c>
      <c r="D82" s="51">
        <v>1.6</v>
      </c>
      <c r="E82" s="51">
        <f t="shared" si="2"/>
        <v>2300.1439999999998</v>
      </c>
      <c r="F82" s="16">
        <v>2300</v>
      </c>
      <c r="G82" s="23">
        <v>1.95</v>
      </c>
      <c r="H82" s="27">
        <f t="shared" si="0"/>
        <v>2803.3004999999998</v>
      </c>
      <c r="I82" s="29">
        <v>2810</v>
      </c>
      <c r="J82" s="13">
        <v>2160</v>
      </c>
      <c r="K82" s="8">
        <v>1.5</v>
      </c>
      <c r="L82" s="8">
        <f t="shared" si="1"/>
        <v>2156.3849999999998</v>
      </c>
    </row>
    <row r="83" spans="1:12" x14ac:dyDescent="0.3">
      <c r="A83" s="14" t="s">
        <v>18</v>
      </c>
      <c r="B83" s="15">
        <v>100</v>
      </c>
      <c r="C83" s="14">
        <v>2411.5700000000002</v>
      </c>
      <c r="D83" s="51">
        <v>1.6</v>
      </c>
      <c r="E83" s="51">
        <f t="shared" si="2"/>
        <v>3858.5120000000006</v>
      </c>
      <c r="F83" s="16">
        <v>3860</v>
      </c>
      <c r="G83" s="23">
        <v>1.95</v>
      </c>
      <c r="H83" s="27">
        <f t="shared" si="0"/>
        <v>4702.5614999999998</v>
      </c>
      <c r="I83" s="29">
        <v>4710</v>
      </c>
      <c r="J83" s="13">
        <v>3620</v>
      </c>
      <c r="K83" s="8">
        <v>1.5</v>
      </c>
      <c r="L83" s="8">
        <f t="shared" si="1"/>
        <v>3617.3550000000005</v>
      </c>
    </row>
    <row r="84" spans="1:12" x14ac:dyDescent="0.3">
      <c r="A84" s="14" t="s">
        <v>1</v>
      </c>
      <c r="B84" s="15">
        <v>100</v>
      </c>
      <c r="C84" s="14">
        <v>2095</v>
      </c>
      <c r="D84" s="51">
        <v>1.6</v>
      </c>
      <c r="E84" s="51">
        <f t="shared" si="2"/>
        <v>3352</v>
      </c>
      <c r="F84" s="16">
        <v>3360</v>
      </c>
      <c r="G84" s="23">
        <v>1.95</v>
      </c>
      <c r="H84" s="27">
        <f t="shared" si="0"/>
        <v>4085.25</v>
      </c>
      <c r="I84" s="29">
        <v>4090</v>
      </c>
      <c r="J84" s="13">
        <v>3150</v>
      </c>
      <c r="K84" s="8">
        <v>1.5</v>
      </c>
      <c r="L84" s="8">
        <f t="shared" si="1"/>
        <v>3142.5</v>
      </c>
    </row>
    <row r="85" spans="1:12" x14ac:dyDescent="0.3">
      <c r="A85" s="14" t="s">
        <v>268</v>
      </c>
      <c r="B85" s="15">
        <v>100</v>
      </c>
      <c r="C85" s="14">
        <v>2209.02</v>
      </c>
      <c r="D85" s="51">
        <v>1.6</v>
      </c>
      <c r="E85" s="51">
        <f>C85*D85</f>
        <v>3534.4320000000002</v>
      </c>
      <c r="F85" s="16"/>
      <c r="G85" s="23">
        <v>1.95</v>
      </c>
      <c r="H85" s="27">
        <f>C85*G85</f>
        <v>4307.5889999999999</v>
      </c>
      <c r="I85" s="29"/>
      <c r="J85" s="13"/>
      <c r="K85" s="8">
        <v>1.5</v>
      </c>
      <c r="L85" s="8">
        <f>C85*K85</f>
        <v>3313.5299999999997</v>
      </c>
    </row>
    <row r="86" spans="1:12" x14ac:dyDescent="0.3">
      <c r="A86" s="14" t="s">
        <v>7</v>
      </c>
      <c r="B86" s="15">
        <v>100</v>
      </c>
      <c r="C86" s="51">
        <v>2990</v>
      </c>
      <c r="D86" s="51">
        <v>1.6</v>
      </c>
      <c r="E86" s="51">
        <f t="shared" si="2"/>
        <v>4784</v>
      </c>
      <c r="F86" s="16">
        <v>4800</v>
      </c>
      <c r="G86" s="23">
        <v>1.95</v>
      </c>
      <c r="H86" s="27">
        <f t="shared" si="0"/>
        <v>5830.5</v>
      </c>
      <c r="I86" s="29">
        <v>5850</v>
      </c>
      <c r="J86" s="13">
        <v>4500</v>
      </c>
      <c r="K86" s="8">
        <v>1.5</v>
      </c>
      <c r="L86" s="8">
        <f t="shared" si="1"/>
        <v>4485</v>
      </c>
    </row>
    <row r="87" spans="1:12" x14ac:dyDescent="0.3">
      <c r="A87" s="14" t="s">
        <v>2</v>
      </c>
      <c r="B87" s="15">
        <v>100</v>
      </c>
      <c r="C87" s="14">
        <v>4516.96</v>
      </c>
      <c r="D87" s="51">
        <v>1.6</v>
      </c>
      <c r="E87" s="51">
        <f t="shared" si="2"/>
        <v>7227.1360000000004</v>
      </c>
      <c r="F87" s="16"/>
      <c r="G87" s="23">
        <v>1.95</v>
      </c>
      <c r="H87" s="27">
        <f t="shared" si="0"/>
        <v>8808.0720000000001</v>
      </c>
      <c r="I87" s="29"/>
      <c r="J87" s="13"/>
      <c r="K87" s="8">
        <v>1.5</v>
      </c>
      <c r="L87" s="8">
        <f t="shared" si="1"/>
        <v>6775.4400000000005</v>
      </c>
    </row>
    <row r="88" spans="1:12" x14ac:dyDescent="0.3">
      <c r="A88" s="14" t="s">
        <v>5</v>
      </c>
      <c r="B88" s="15">
        <v>100</v>
      </c>
      <c r="C88" s="14">
        <v>6327.66</v>
      </c>
      <c r="D88" s="51">
        <v>1.6</v>
      </c>
      <c r="E88" s="51">
        <f t="shared" si="2"/>
        <v>10124.256000000001</v>
      </c>
      <c r="F88" s="16">
        <v>10130</v>
      </c>
      <c r="G88" s="23">
        <v>1.95</v>
      </c>
      <c r="H88" s="27">
        <f t="shared" si="0"/>
        <v>12338.937</v>
      </c>
      <c r="I88" s="29">
        <v>12340</v>
      </c>
      <c r="J88" s="13">
        <v>9500</v>
      </c>
      <c r="K88" s="8">
        <v>1.5</v>
      </c>
      <c r="L88" s="8">
        <f t="shared" si="1"/>
        <v>9491.49</v>
      </c>
    </row>
    <row r="89" spans="1:12" x14ac:dyDescent="0.3">
      <c r="A89" s="14" t="s">
        <v>4</v>
      </c>
      <c r="B89" s="15">
        <v>100</v>
      </c>
      <c r="C89" s="14">
        <v>7996.04</v>
      </c>
      <c r="D89" s="51">
        <v>1.6</v>
      </c>
      <c r="E89" s="51">
        <f t="shared" si="2"/>
        <v>12793.664000000001</v>
      </c>
      <c r="F89" s="16">
        <v>12800</v>
      </c>
      <c r="G89" s="23">
        <v>1.95</v>
      </c>
      <c r="H89" s="27">
        <f t="shared" si="0"/>
        <v>15592.278</v>
      </c>
      <c r="I89" s="29">
        <v>15600</v>
      </c>
      <c r="J89" s="13">
        <v>12000</v>
      </c>
      <c r="K89" s="8">
        <v>1.5</v>
      </c>
      <c r="L89" s="8">
        <f t="shared" si="1"/>
        <v>11994.06</v>
      </c>
    </row>
    <row r="90" spans="1:12" x14ac:dyDescent="0.3">
      <c r="A90" s="14" t="s">
        <v>95</v>
      </c>
      <c r="B90" s="15">
        <v>100</v>
      </c>
      <c r="C90" s="14">
        <v>7956.37</v>
      </c>
      <c r="D90" s="51">
        <v>1.6</v>
      </c>
      <c r="E90" s="51">
        <f t="shared" si="2"/>
        <v>12730.192000000001</v>
      </c>
      <c r="F90" s="16">
        <v>12730</v>
      </c>
      <c r="G90" s="23">
        <v>1.95</v>
      </c>
      <c r="H90" s="27">
        <f t="shared" ref="H90:H175" si="3">C90*G90</f>
        <v>15514.921499999999</v>
      </c>
      <c r="I90" s="29">
        <v>15520</v>
      </c>
      <c r="J90" s="13">
        <v>11940</v>
      </c>
      <c r="K90" s="8">
        <v>1.5</v>
      </c>
      <c r="L90" s="8">
        <f t="shared" ref="L90:L175" si="4">C90*K90</f>
        <v>11934.555</v>
      </c>
    </row>
    <row r="91" spans="1:12" x14ac:dyDescent="0.3">
      <c r="A91" s="14" t="s">
        <v>353</v>
      </c>
      <c r="B91" s="15">
        <v>100</v>
      </c>
      <c r="C91" s="14">
        <v>2743.86</v>
      </c>
      <c r="D91" s="51">
        <v>1.6</v>
      </c>
      <c r="E91" s="51">
        <f t="shared" si="2"/>
        <v>4390.1760000000004</v>
      </c>
      <c r="F91" s="16"/>
      <c r="G91" s="23">
        <v>1.95</v>
      </c>
      <c r="H91" s="27">
        <f t="shared" si="3"/>
        <v>5350.527</v>
      </c>
      <c r="I91" s="29"/>
      <c r="J91" s="13"/>
      <c r="K91" s="8">
        <v>1.5</v>
      </c>
      <c r="L91" s="8">
        <f t="shared" si="4"/>
        <v>4115.79</v>
      </c>
    </row>
    <row r="92" spans="1:12" x14ac:dyDescent="0.3">
      <c r="A92" s="82" t="s">
        <v>279</v>
      </c>
      <c r="B92" s="74"/>
      <c r="C92" s="75"/>
      <c r="D92" s="83"/>
      <c r="E92" s="83"/>
      <c r="F92" s="75"/>
      <c r="G92" s="70"/>
      <c r="H92" s="71"/>
      <c r="I92" s="72"/>
      <c r="J92" s="70"/>
      <c r="K92" s="76"/>
      <c r="L92" s="76"/>
    </row>
    <row r="93" spans="1:12" x14ac:dyDescent="0.3">
      <c r="A93" s="14" t="s">
        <v>280</v>
      </c>
      <c r="B93" s="15">
        <v>100</v>
      </c>
      <c r="C93" s="14">
        <v>3560.93</v>
      </c>
      <c r="D93" s="51">
        <v>1.6</v>
      </c>
      <c r="E93" s="51">
        <f t="shared" ref="E93:E99" si="5">C93*D93</f>
        <v>5697.4880000000003</v>
      </c>
      <c r="F93" s="16"/>
      <c r="G93" s="23">
        <v>1.95</v>
      </c>
      <c r="H93" s="27">
        <f t="shared" si="3"/>
        <v>6943.8134999999993</v>
      </c>
      <c r="I93" s="29"/>
      <c r="J93" s="13"/>
      <c r="K93" s="8">
        <v>1.5</v>
      </c>
      <c r="L93" s="8">
        <f t="shared" si="4"/>
        <v>5341.3949999999995</v>
      </c>
    </row>
    <row r="94" spans="1:12" x14ac:dyDescent="0.3">
      <c r="A94" s="14" t="s">
        <v>286</v>
      </c>
      <c r="B94" s="15">
        <v>100</v>
      </c>
      <c r="C94" s="14">
        <v>4326.88</v>
      </c>
      <c r="D94" s="51">
        <v>1.6</v>
      </c>
      <c r="E94" s="51">
        <f t="shared" si="5"/>
        <v>6923.0080000000007</v>
      </c>
      <c r="F94" s="16"/>
      <c r="G94" s="23">
        <v>1.95</v>
      </c>
      <c r="H94" s="27">
        <f t="shared" si="3"/>
        <v>8437.4159999999993</v>
      </c>
      <c r="I94" s="29"/>
      <c r="J94" s="13"/>
      <c r="K94" s="8">
        <v>1.5</v>
      </c>
      <c r="L94" s="8">
        <f t="shared" si="4"/>
        <v>6490.32</v>
      </c>
    </row>
    <row r="95" spans="1:12" x14ac:dyDescent="0.3">
      <c r="A95" s="14" t="s">
        <v>281</v>
      </c>
      <c r="B95" s="15">
        <v>100</v>
      </c>
      <c r="C95" s="14">
        <v>5782.96</v>
      </c>
      <c r="D95" s="51">
        <v>1.6</v>
      </c>
      <c r="E95" s="51">
        <f t="shared" si="5"/>
        <v>9252.7360000000008</v>
      </c>
      <c r="F95" s="16"/>
      <c r="G95" s="23">
        <v>1.95</v>
      </c>
      <c r="H95" s="27">
        <f t="shared" si="3"/>
        <v>11276.771999999999</v>
      </c>
      <c r="I95" s="29"/>
      <c r="J95" s="13"/>
      <c r="K95" s="8">
        <v>1.5</v>
      </c>
      <c r="L95" s="8">
        <f t="shared" si="4"/>
        <v>8674.44</v>
      </c>
    </row>
    <row r="96" spans="1:12" x14ac:dyDescent="0.3">
      <c r="A96" s="82" t="s">
        <v>282</v>
      </c>
      <c r="B96" s="74"/>
      <c r="C96" s="75"/>
      <c r="D96" s="83"/>
      <c r="E96" s="83"/>
      <c r="F96" s="75"/>
      <c r="G96" s="70"/>
      <c r="H96" s="71"/>
      <c r="I96" s="72"/>
      <c r="J96" s="70"/>
      <c r="K96" s="76"/>
      <c r="L96" s="76"/>
    </row>
    <row r="97" spans="1:16" x14ac:dyDescent="0.3">
      <c r="A97" s="14" t="s">
        <v>286</v>
      </c>
      <c r="B97" s="15">
        <v>100</v>
      </c>
      <c r="C97" s="14">
        <v>3127.87</v>
      </c>
      <c r="D97" s="51">
        <v>1.6</v>
      </c>
      <c r="E97" s="51">
        <f t="shared" si="5"/>
        <v>5004.5920000000006</v>
      </c>
      <c r="F97" s="16">
        <v>5010</v>
      </c>
      <c r="G97" s="23">
        <v>1.95</v>
      </c>
      <c r="H97" s="27">
        <f t="shared" si="3"/>
        <v>6099.3464999999997</v>
      </c>
      <c r="I97" s="29">
        <v>6100</v>
      </c>
      <c r="J97" s="13">
        <v>4700</v>
      </c>
      <c r="K97" s="8">
        <v>1.5</v>
      </c>
      <c r="L97" s="8">
        <f t="shared" si="4"/>
        <v>4691.8050000000003</v>
      </c>
    </row>
    <row r="98" spans="1:16" x14ac:dyDescent="0.3">
      <c r="A98" s="14" t="s">
        <v>290</v>
      </c>
      <c r="B98" s="15">
        <v>100</v>
      </c>
      <c r="C98" s="14">
        <v>4500</v>
      </c>
      <c r="D98" s="51">
        <v>1.6</v>
      </c>
      <c r="E98" s="51">
        <f t="shared" si="5"/>
        <v>7200</v>
      </c>
      <c r="F98" s="16">
        <v>7200</v>
      </c>
      <c r="G98" s="23">
        <v>1.95</v>
      </c>
      <c r="H98" s="27">
        <f t="shared" si="3"/>
        <v>8775</v>
      </c>
      <c r="I98" s="29">
        <v>8780</v>
      </c>
      <c r="J98" s="13">
        <v>6750</v>
      </c>
      <c r="K98" s="8">
        <v>1.5</v>
      </c>
      <c r="L98" s="8">
        <f t="shared" si="4"/>
        <v>6750</v>
      </c>
    </row>
    <row r="99" spans="1:16" x14ac:dyDescent="0.3">
      <c r="A99" s="14" t="s">
        <v>281</v>
      </c>
      <c r="B99" s="15">
        <v>100</v>
      </c>
      <c r="C99" s="14">
        <v>3945.89</v>
      </c>
      <c r="D99" s="51">
        <v>1.6</v>
      </c>
      <c r="E99" s="51">
        <f t="shared" si="5"/>
        <v>6313.424</v>
      </c>
      <c r="F99" s="16">
        <v>6320</v>
      </c>
      <c r="G99" s="23">
        <v>1.95</v>
      </c>
      <c r="H99" s="27">
        <f t="shared" si="3"/>
        <v>7694.4854999999998</v>
      </c>
      <c r="I99" s="29">
        <v>7700</v>
      </c>
      <c r="J99" s="13">
        <v>5920</v>
      </c>
      <c r="K99" s="8">
        <v>1.5</v>
      </c>
      <c r="L99" s="8">
        <f t="shared" si="4"/>
        <v>5918.835</v>
      </c>
    </row>
    <row r="100" spans="1:16" x14ac:dyDescent="0.3">
      <c r="A100" s="82" t="s">
        <v>97</v>
      </c>
      <c r="B100" s="74"/>
      <c r="C100" s="75"/>
      <c r="D100" s="83"/>
      <c r="E100" s="83"/>
      <c r="F100" s="75"/>
      <c r="G100" s="70"/>
      <c r="H100" s="71"/>
      <c r="I100" s="72"/>
      <c r="J100" s="70"/>
      <c r="K100" s="76"/>
      <c r="L100" s="76"/>
    </row>
    <row r="101" spans="1:16" x14ac:dyDescent="0.3">
      <c r="A101" s="14" t="s">
        <v>98</v>
      </c>
      <c r="B101" s="15">
        <v>100</v>
      </c>
      <c r="C101" s="14">
        <v>3626.06</v>
      </c>
      <c r="D101" s="51">
        <v>1.6</v>
      </c>
      <c r="E101" s="51">
        <f t="shared" ref="E101:E175" si="6">C101*D101</f>
        <v>5801.6959999999999</v>
      </c>
      <c r="F101" s="16">
        <v>5810</v>
      </c>
      <c r="G101" s="23">
        <v>1.95</v>
      </c>
      <c r="H101" s="27">
        <f t="shared" si="3"/>
        <v>7070.817</v>
      </c>
      <c r="I101" s="29">
        <v>7070</v>
      </c>
      <c r="J101" s="13">
        <v>5440</v>
      </c>
      <c r="K101" s="8">
        <v>1.5</v>
      </c>
      <c r="L101" s="8">
        <f t="shared" si="4"/>
        <v>5439.09</v>
      </c>
    </row>
    <row r="102" spans="1:16" x14ac:dyDescent="0.3">
      <c r="A102" s="14" t="s">
        <v>99</v>
      </c>
      <c r="B102" s="15">
        <v>100</v>
      </c>
      <c r="C102" s="14">
        <v>5163.3</v>
      </c>
      <c r="D102" s="51">
        <v>1.6</v>
      </c>
      <c r="E102" s="51">
        <f t="shared" si="6"/>
        <v>8261.2800000000007</v>
      </c>
      <c r="F102" s="16">
        <v>8270</v>
      </c>
      <c r="G102" s="23">
        <v>1.95</v>
      </c>
      <c r="H102" s="27">
        <f t="shared" si="3"/>
        <v>10068.434999999999</v>
      </c>
      <c r="I102" s="29">
        <v>10070</v>
      </c>
      <c r="J102" s="13">
        <v>7750</v>
      </c>
      <c r="K102" s="8">
        <v>1.5</v>
      </c>
      <c r="L102" s="8">
        <f t="shared" si="4"/>
        <v>7744.9500000000007</v>
      </c>
    </row>
    <row r="103" spans="1:16" x14ac:dyDescent="0.3">
      <c r="A103" s="14" t="s">
        <v>100</v>
      </c>
      <c r="B103" s="15">
        <v>100</v>
      </c>
      <c r="C103" s="14">
        <v>6584.73</v>
      </c>
      <c r="D103" s="51">
        <v>1.6</v>
      </c>
      <c r="E103" s="51">
        <f t="shared" si="6"/>
        <v>10535.567999999999</v>
      </c>
      <c r="F103" s="16">
        <v>10540</v>
      </c>
      <c r="G103" s="23">
        <v>1.95</v>
      </c>
      <c r="H103" s="27">
        <f t="shared" si="3"/>
        <v>12840.223499999998</v>
      </c>
      <c r="I103" s="29">
        <v>12840</v>
      </c>
      <c r="J103" s="13">
        <v>9880</v>
      </c>
      <c r="K103" s="8">
        <v>1.5</v>
      </c>
      <c r="L103" s="8">
        <f t="shared" si="4"/>
        <v>9877.0949999999993</v>
      </c>
    </row>
    <row r="104" spans="1:16" x14ac:dyDescent="0.3">
      <c r="A104" s="14" t="s">
        <v>101</v>
      </c>
      <c r="B104" s="15">
        <v>100</v>
      </c>
      <c r="C104" s="14">
        <v>7990.74</v>
      </c>
      <c r="D104" s="51">
        <v>1.6</v>
      </c>
      <c r="E104" s="51">
        <f t="shared" si="6"/>
        <v>12785.184000000001</v>
      </c>
      <c r="F104" s="16">
        <v>12790</v>
      </c>
      <c r="G104" s="23">
        <v>1.95</v>
      </c>
      <c r="H104" s="27">
        <f t="shared" si="3"/>
        <v>15581.942999999999</v>
      </c>
      <c r="I104" s="29">
        <v>15590</v>
      </c>
      <c r="J104" s="13">
        <v>11990</v>
      </c>
      <c r="K104" s="8">
        <v>1.5</v>
      </c>
      <c r="L104" s="8">
        <f t="shared" si="4"/>
        <v>11986.11</v>
      </c>
    </row>
    <row r="105" spans="1:16" x14ac:dyDescent="0.3">
      <c r="A105" s="14" t="s">
        <v>102</v>
      </c>
      <c r="B105" s="15">
        <v>100</v>
      </c>
      <c r="C105" s="14">
        <v>13022.54</v>
      </c>
      <c r="D105" s="51">
        <v>1.6</v>
      </c>
      <c r="E105" s="51">
        <f t="shared" si="6"/>
        <v>20836.064000000002</v>
      </c>
      <c r="F105" s="16">
        <v>20840</v>
      </c>
      <c r="G105" s="23">
        <v>1.95</v>
      </c>
      <c r="H105" s="27">
        <f t="shared" si="3"/>
        <v>25393.953000000001</v>
      </c>
      <c r="I105" s="29">
        <v>25400</v>
      </c>
      <c r="J105" s="13">
        <v>19540</v>
      </c>
      <c r="K105" s="8">
        <v>1.5</v>
      </c>
      <c r="L105" s="8">
        <f t="shared" si="4"/>
        <v>19533.810000000001</v>
      </c>
    </row>
    <row r="106" spans="1:16" x14ac:dyDescent="0.3">
      <c r="A106" s="14" t="s">
        <v>341</v>
      </c>
      <c r="B106" s="15">
        <v>100</v>
      </c>
      <c r="C106" s="14">
        <v>8092.61</v>
      </c>
      <c r="D106" s="51">
        <v>1.6</v>
      </c>
      <c r="E106" s="51">
        <f t="shared" si="6"/>
        <v>12948.175999999999</v>
      </c>
      <c r="F106" s="16"/>
      <c r="G106" s="23">
        <v>1.95</v>
      </c>
      <c r="H106" s="27">
        <f t="shared" si="3"/>
        <v>15780.589499999998</v>
      </c>
      <c r="I106" s="29"/>
      <c r="J106" s="13"/>
      <c r="K106" s="8">
        <v>1.5</v>
      </c>
      <c r="L106" s="8">
        <f t="shared" si="4"/>
        <v>12138.914999999999</v>
      </c>
      <c r="P106">
        <f>1837.58/2500</f>
        <v>0.73503200000000002</v>
      </c>
    </row>
    <row r="107" spans="1:16" x14ac:dyDescent="0.3">
      <c r="A107" s="82" t="s">
        <v>104</v>
      </c>
      <c r="B107" s="75"/>
      <c r="C107" s="75"/>
      <c r="D107" s="83"/>
      <c r="E107" s="83"/>
      <c r="F107" s="75"/>
      <c r="G107" s="70"/>
      <c r="H107" s="71"/>
      <c r="I107" s="72"/>
      <c r="J107" s="70"/>
      <c r="K107" s="76"/>
      <c r="L107" s="76"/>
    </row>
    <row r="108" spans="1:16" x14ac:dyDescent="0.3">
      <c r="A108" s="14" t="s">
        <v>105</v>
      </c>
      <c r="B108" s="15">
        <v>1</v>
      </c>
      <c r="C108" s="14">
        <v>492.02</v>
      </c>
      <c r="D108" s="51">
        <v>1.6</v>
      </c>
      <c r="E108" s="51">
        <f t="shared" si="6"/>
        <v>787.23199999999997</v>
      </c>
      <c r="F108" s="16">
        <v>790</v>
      </c>
      <c r="G108" s="23">
        <v>1.95</v>
      </c>
      <c r="H108" s="27">
        <f t="shared" si="3"/>
        <v>959.43899999999996</v>
      </c>
      <c r="I108" s="29">
        <v>960</v>
      </c>
      <c r="J108" s="13">
        <v>740</v>
      </c>
      <c r="K108" s="8">
        <v>1.5</v>
      </c>
      <c r="L108" s="8">
        <f t="shared" si="4"/>
        <v>738.03</v>
      </c>
    </row>
    <row r="109" spans="1:16" x14ac:dyDescent="0.3">
      <c r="A109" s="14" t="s">
        <v>106</v>
      </c>
      <c r="B109" s="15">
        <v>1</v>
      </c>
      <c r="C109" s="14">
        <v>380</v>
      </c>
      <c r="D109" s="51">
        <v>1.6</v>
      </c>
      <c r="E109" s="51">
        <f t="shared" si="6"/>
        <v>608</v>
      </c>
      <c r="F109" s="16">
        <v>610</v>
      </c>
      <c r="G109" s="23">
        <v>1.95</v>
      </c>
      <c r="H109" s="27">
        <f t="shared" si="3"/>
        <v>741</v>
      </c>
      <c r="I109" s="29">
        <v>750</v>
      </c>
      <c r="J109" s="13">
        <v>570</v>
      </c>
      <c r="K109" s="8">
        <v>1.5</v>
      </c>
      <c r="L109" s="8">
        <f t="shared" si="4"/>
        <v>570</v>
      </c>
    </row>
    <row r="110" spans="1:16" x14ac:dyDescent="0.3">
      <c r="A110" s="14" t="s">
        <v>107</v>
      </c>
      <c r="B110" s="15">
        <v>1</v>
      </c>
      <c r="C110" s="14">
        <v>550</v>
      </c>
      <c r="D110" s="51">
        <v>1.6</v>
      </c>
      <c r="E110" s="51">
        <f t="shared" si="6"/>
        <v>880</v>
      </c>
      <c r="F110" s="16">
        <v>880</v>
      </c>
      <c r="G110" s="23">
        <v>1.95</v>
      </c>
      <c r="H110" s="27">
        <f t="shared" si="3"/>
        <v>1072.5</v>
      </c>
      <c r="I110" s="29">
        <v>1080</v>
      </c>
      <c r="J110" s="13">
        <v>830</v>
      </c>
      <c r="K110" s="8">
        <v>1.5</v>
      </c>
      <c r="L110" s="8">
        <f t="shared" si="4"/>
        <v>825</v>
      </c>
    </row>
    <row r="111" spans="1:16" x14ac:dyDescent="0.3">
      <c r="A111" s="14" t="s">
        <v>108</v>
      </c>
      <c r="B111" s="15">
        <v>1</v>
      </c>
      <c r="C111" s="14">
        <v>650</v>
      </c>
      <c r="D111" s="51">
        <v>1.6</v>
      </c>
      <c r="E111" s="51">
        <f t="shared" si="6"/>
        <v>1040</v>
      </c>
      <c r="F111" s="16">
        <v>1040</v>
      </c>
      <c r="G111" s="23">
        <v>1.95</v>
      </c>
      <c r="H111" s="27">
        <f t="shared" si="3"/>
        <v>1267.5</v>
      </c>
      <c r="I111" s="29">
        <v>1270</v>
      </c>
      <c r="J111" s="13">
        <v>980</v>
      </c>
      <c r="K111" s="8">
        <v>1.5</v>
      </c>
      <c r="L111" s="8">
        <f t="shared" si="4"/>
        <v>975</v>
      </c>
    </row>
    <row r="112" spans="1:16" x14ac:dyDescent="0.3">
      <c r="A112" s="14" t="s">
        <v>109</v>
      </c>
      <c r="B112" s="15">
        <v>1</v>
      </c>
      <c r="C112" s="14">
        <v>850</v>
      </c>
      <c r="D112" s="51">
        <v>1.6</v>
      </c>
      <c r="E112" s="51">
        <f t="shared" si="6"/>
        <v>1360</v>
      </c>
      <c r="F112" s="16">
        <v>1360</v>
      </c>
      <c r="G112" s="23">
        <v>1.95</v>
      </c>
      <c r="H112" s="27">
        <f t="shared" si="3"/>
        <v>1657.5</v>
      </c>
      <c r="I112" s="29">
        <v>1660</v>
      </c>
      <c r="J112" s="13">
        <v>1280</v>
      </c>
      <c r="K112" s="8">
        <v>1.5</v>
      </c>
      <c r="L112" s="8">
        <f t="shared" si="4"/>
        <v>1275</v>
      </c>
    </row>
    <row r="113" spans="1:12" x14ac:dyDescent="0.3">
      <c r="A113" s="82" t="s">
        <v>110</v>
      </c>
      <c r="B113" s="74"/>
      <c r="C113" s="75"/>
      <c r="D113" s="83"/>
      <c r="E113" s="83"/>
      <c r="F113" s="75"/>
      <c r="G113" s="70"/>
      <c r="H113" s="71"/>
      <c r="I113" s="72"/>
      <c r="J113" s="70"/>
      <c r="K113" s="76"/>
      <c r="L113" s="76"/>
    </row>
    <row r="114" spans="1:12" x14ac:dyDescent="0.3">
      <c r="A114" s="14" t="s">
        <v>111</v>
      </c>
      <c r="B114" s="15">
        <v>100</v>
      </c>
      <c r="C114" s="51">
        <v>1545.26</v>
      </c>
      <c r="D114" s="51">
        <v>1.6</v>
      </c>
      <c r="E114" s="51">
        <f t="shared" si="6"/>
        <v>2472.4160000000002</v>
      </c>
      <c r="F114" s="16">
        <v>2480</v>
      </c>
      <c r="G114" s="23">
        <v>1.95</v>
      </c>
      <c r="H114" s="27">
        <f t="shared" si="3"/>
        <v>3013.2570000000001</v>
      </c>
      <c r="I114" s="29">
        <v>3020</v>
      </c>
      <c r="J114" s="13">
        <v>2320</v>
      </c>
      <c r="K114" s="8">
        <v>1.5</v>
      </c>
      <c r="L114" s="8">
        <f t="shared" si="4"/>
        <v>2317.89</v>
      </c>
    </row>
    <row r="115" spans="1:12" x14ac:dyDescent="0.3">
      <c r="A115" s="14" t="s">
        <v>112</v>
      </c>
      <c r="B115" s="15">
        <v>100</v>
      </c>
      <c r="C115" s="51">
        <v>1783.4</v>
      </c>
      <c r="D115" s="51">
        <v>1.6</v>
      </c>
      <c r="E115" s="51">
        <f t="shared" si="6"/>
        <v>2853.4400000000005</v>
      </c>
      <c r="F115" s="16">
        <v>2860</v>
      </c>
      <c r="G115" s="23">
        <v>1.95</v>
      </c>
      <c r="H115" s="27">
        <f t="shared" si="3"/>
        <v>3477.63</v>
      </c>
      <c r="I115" s="29">
        <v>3480</v>
      </c>
      <c r="J115" s="13">
        <v>2680</v>
      </c>
      <c r="K115" s="8">
        <v>1.5</v>
      </c>
      <c r="L115" s="8">
        <f t="shared" si="4"/>
        <v>2675.1000000000004</v>
      </c>
    </row>
    <row r="116" spans="1:12" x14ac:dyDescent="0.3">
      <c r="A116" s="14" t="s">
        <v>113</v>
      </c>
      <c r="B116" s="15">
        <v>100</v>
      </c>
      <c r="C116" s="51">
        <v>2213.38</v>
      </c>
      <c r="D116" s="51">
        <v>1.6</v>
      </c>
      <c r="E116" s="51">
        <f t="shared" si="6"/>
        <v>3541.4080000000004</v>
      </c>
      <c r="F116" s="16">
        <v>3550</v>
      </c>
      <c r="G116" s="23">
        <v>1.95</v>
      </c>
      <c r="H116" s="27">
        <f t="shared" si="3"/>
        <v>4316.0910000000003</v>
      </c>
      <c r="I116" s="29">
        <v>4350</v>
      </c>
      <c r="J116" s="13">
        <v>3320</v>
      </c>
      <c r="K116" s="8">
        <v>1.5</v>
      </c>
      <c r="L116" s="8">
        <f t="shared" si="4"/>
        <v>3320.07</v>
      </c>
    </row>
    <row r="117" spans="1:12" x14ac:dyDescent="0.3">
      <c r="A117" s="14" t="s">
        <v>114</v>
      </c>
      <c r="B117" s="15">
        <v>100</v>
      </c>
      <c r="C117" s="14">
        <v>2828.7</v>
      </c>
      <c r="D117" s="51">
        <v>1.6</v>
      </c>
      <c r="E117" s="51">
        <f t="shared" si="6"/>
        <v>4525.92</v>
      </c>
      <c r="F117" s="16">
        <v>4530</v>
      </c>
      <c r="G117" s="23">
        <v>1.95</v>
      </c>
      <c r="H117" s="27">
        <f t="shared" si="3"/>
        <v>5515.9649999999992</v>
      </c>
      <c r="I117" s="29">
        <v>5520</v>
      </c>
      <c r="J117" s="13">
        <v>4250</v>
      </c>
      <c r="K117" s="8">
        <v>1.5</v>
      </c>
      <c r="L117" s="8">
        <f t="shared" si="4"/>
        <v>4243.0499999999993</v>
      </c>
    </row>
    <row r="118" spans="1:12" x14ac:dyDescent="0.3">
      <c r="A118" s="14" t="s">
        <v>115</v>
      </c>
      <c r="B118" s="15">
        <v>100</v>
      </c>
      <c r="C118" s="14">
        <v>3471.3</v>
      </c>
      <c r="D118" s="51">
        <v>1.6</v>
      </c>
      <c r="E118" s="51">
        <f t="shared" si="6"/>
        <v>5554.0800000000008</v>
      </c>
      <c r="F118" s="16">
        <v>5560</v>
      </c>
      <c r="G118" s="23">
        <v>1.95</v>
      </c>
      <c r="H118" s="27">
        <f t="shared" si="3"/>
        <v>6769.0349999999999</v>
      </c>
      <c r="I118" s="29">
        <v>6770</v>
      </c>
      <c r="J118" s="13">
        <v>5210</v>
      </c>
      <c r="K118" s="8">
        <v>1.5</v>
      </c>
      <c r="L118" s="8">
        <f t="shared" si="4"/>
        <v>5206.9500000000007</v>
      </c>
    </row>
    <row r="119" spans="1:12" x14ac:dyDescent="0.3">
      <c r="A119" s="14" t="s">
        <v>240</v>
      </c>
      <c r="B119" s="15">
        <v>100</v>
      </c>
      <c r="C119" s="14">
        <v>4605.3</v>
      </c>
      <c r="D119" s="51">
        <v>1.6</v>
      </c>
      <c r="E119" s="51">
        <f t="shared" si="6"/>
        <v>7368.4800000000005</v>
      </c>
      <c r="F119" s="16">
        <v>7370</v>
      </c>
      <c r="G119" s="23">
        <v>1.95</v>
      </c>
      <c r="H119" s="27">
        <f t="shared" si="3"/>
        <v>8980.3350000000009</v>
      </c>
      <c r="I119" s="29">
        <v>8980</v>
      </c>
      <c r="J119" s="13">
        <v>6910</v>
      </c>
      <c r="K119" s="8">
        <v>1.5</v>
      </c>
      <c r="L119" s="8">
        <f t="shared" si="4"/>
        <v>6907.9500000000007</v>
      </c>
    </row>
    <row r="120" spans="1:12" x14ac:dyDescent="0.3">
      <c r="A120" s="82" t="s">
        <v>116</v>
      </c>
      <c r="B120" s="74"/>
      <c r="C120" s="75"/>
      <c r="D120" s="83"/>
      <c r="E120" s="83"/>
      <c r="F120" s="75"/>
      <c r="G120" s="70"/>
      <c r="H120" s="71"/>
      <c r="I120" s="72"/>
      <c r="J120" s="70"/>
      <c r="K120" s="76"/>
      <c r="L120" s="76"/>
    </row>
    <row r="121" spans="1:12" x14ac:dyDescent="0.3">
      <c r="A121" s="14" t="s">
        <v>117</v>
      </c>
      <c r="B121" s="15">
        <v>100</v>
      </c>
      <c r="C121" s="14">
        <v>2205.91</v>
      </c>
      <c r="D121" s="51">
        <v>1.6</v>
      </c>
      <c r="E121" s="51">
        <f t="shared" si="6"/>
        <v>3529.4560000000001</v>
      </c>
      <c r="F121" s="16"/>
      <c r="G121" s="23">
        <v>1.95</v>
      </c>
      <c r="H121" s="27">
        <f t="shared" si="3"/>
        <v>4301.5244999999995</v>
      </c>
      <c r="I121" s="29"/>
      <c r="J121" s="13"/>
      <c r="K121" s="8">
        <v>1.5</v>
      </c>
      <c r="L121" s="8">
        <f t="shared" si="4"/>
        <v>3308.8649999999998</v>
      </c>
    </row>
    <row r="122" spans="1:12" x14ac:dyDescent="0.3">
      <c r="A122" s="14" t="s">
        <v>118</v>
      </c>
      <c r="B122" s="15">
        <v>100</v>
      </c>
      <c r="C122" s="14">
        <v>2588.84</v>
      </c>
      <c r="D122" s="51">
        <v>1.6</v>
      </c>
      <c r="E122" s="51">
        <f t="shared" si="6"/>
        <v>4142.1440000000002</v>
      </c>
      <c r="F122" s="16"/>
      <c r="G122" s="23">
        <v>1.95</v>
      </c>
      <c r="H122" s="27">
        <f t="shared" si="3"/>
        <v>5048.2380000000003</v>
      </c>
      <c r="I122" s="29"/>
      <c r="J122" s="13"/>
      <c r="K122" s="8">
        <v>1.5</v>
      </c>
      <c r="L122" s="8">
        <f t="shared" si="4"/>
        <v>3883.26</v>
      </c>
    </row>
    <row r="123" spans="1:12" x14ac:dyDescent="0.3">
      <c r="A123" s="14" t="s">
        <v>119</v>
      </c>
      <c r="B123" s="15">
        <v>100</v>
      </c>
      <c r="C123" s="14">
        <v>4827.0600000000004</v>
      </c>
      <c r="D123" s="51">
        <v>1.6</v>
      </c>
      <c r="E123" s="51">
        <f t="shared" si="6"/>
        <v>7723.2960000000012</v>
      </c>
      <c r="F123" s="16"/>
      <c r="G123" s="23">
        <v>1.95</v>
      </c>
      <c r="H123" s="27">
        <f t="shared" si="3"/>
        <v>9412.7669999999998</v>
      </c>
      <c r="I123" s="29"/>
      <c r="J123" s="13"/>
      <c r="K123" s="8">
        <v>1.5</v>
      </c>
      <c r="L123" s="8">
        <f t="shared" si="4"/>
        <v>7240.59</v>
      </c>
    </row>
    <row r="124" spans="1:12" x14ac:dyDescent="0.3">
      <c r="A124" s="14" t="s">
        <v>120</v>
      </c>
      <c r="B124" s="15">
        <v>100</v>
      </c>
      <c r="C124" s="14">
        <v>5300.77</v>
      </c>
      <c r="D124" s="51">
        <v>1.6</v>
      </c>
      <c r="E124" s="51">
        <f t="shared" si="6"/>
        <v>8481.2320000000018</v>
      </c>
      <c r="F124" s="16"/>
      <c r="G124" s="23">
        <v>1.95</v>
      </c>
      <c r="H124" s="27">
        <f t="shared" si="3"/>
        <v>10336.5015</v>
      </c>
      <c r="I124" s="29"/>
      <c r="J124" s="13"/>
      <c r="K124" s="8">
        <v>1.5</v>
      </c>
      <c r="L124" s="8">
        <f t="shared" si="4"/>
        <v>7951.1550000000007</v>
      </c>
    </row>
    <row r="125" spans="1:12" x14ac:dyDescent="0.3">
      <c r="A125" s="84" t="s">
        <v>121</v>
      </c>
      <c r="B125" s="74"/>
      <c r="C125" s="75"/>
      <c r="D125" s="83"/>
      <c r="E125" s="83"/>
      <c r="F125" s="75"/>
      <c r="G125" s="70"/>
      <c r="H125" s="71"/>
      <c r="I125" s="72"/>
      <c r="J125" s="70"/>
      <c r="K125" s="76"/>
      <c r="L125" s="76"/>
    </row>
    <row r="126" spans="1:12" x14ac:dyDescent="0.3">
      <c r="A126" s="20" t="s">
        <v>118</v>
      </c>
      <c r="B126" s="15">
        <v>1</v>
      </c>
      <c r="C126" s="14">
        <v>442.73</v>
      </c>
      <c r="D126" s="51">
        <v>1.6</v>
      </c>
      <c r="E126" s="51">
        <f t="shared" si="6"/>
        <v>708.36800000000005</v>
      </c>
      <c r="F126" s="16"/>
      <c r="G126" s="23">
        <v>1.95</v>
      </c>
      <c r="H126" s="27">
        <f t="shared" si="3"/>
        <v>863.32349999999997</v>
      </c>
      <c r="I126" s="29"/>
      <c r="J126" s="13"/>
      <c r="K126" s="8">
        <v>1.5</v>
      </c>
      <c r="L126" s="8">
        <f t="shared" si="4"/>
        <v>664.09500000000003</v>
      </c>
    </row>
    <row r="127" spans="1:12" x14ac:dyDescent="0.3">
      <c r="A127" s="14" t="s">
        <v>119</v>
      </c>
      <c r="B127" s="15">
        <v>1</v>
      </c>
      <c r="C127" s="14">
        <v>748.39</v>
      </c>
      <c r="D127" s="51">
        <v>1.6</v>
      </c>
      <c r="E127" s="51">
        <f t="shared" si="6"/>
        <v>1197.424</v>
      </c>
      <c r="F127" s="16"/>
      <c r="G127" s="23">
        <v>1.95</v>
      </c>
      <c r="H127" s="27">
        <f t="shared" si="3"/>
        <v>1459.3605</v>
      </c>
      <c r="I127" s="29"/>
      <c r="J127" s="13"/>
      <c r="K127" s="8">
        <v>1.5</v>
      </c>
      <c r="L127" s="8">
        <f t="shared" si="4"/>
        <v>1122.585</v>
      </c>
    </row>
    <row r="128" spans="1:12" x14ac:dyDescent="0.3">
      <c r="A128" s="14" t="s">
        <v>120</v>
      </c>
      <c r="B128" s="15">
        <v>1</v>
      </c>
      <c r="C128" s="14">
        <v>957.01</v>
      </c>
      <c r="D128" s="51">
        <v>1.6</v>
      </c>
      <c r="E128" s="51">
        <f t="shared" si="6"/>
        <v>1531.2160000000001</v>
      </c>
      <c r="F128" s="16"/>
      <c r="G128" s="23">
        <v>1.95</v>
      </c>
      <c r="H128" s="27">
        <f t="shared" si="3"/>
        <v>1866.1695</v>
      </c>
      <c r="I128" s="29"/>
      <c r="J128" s="13"/>
      <c r="K128" s="8">
        <v>1.5</v>
      </c>
      <c r="L128" s="8">
        <f t="shared" si="4"/>
        <v>1435.5149999999999</v>
      </c>
    </row>
    <row r="129" spans="1:12" x14ac:dyDescent="0.3">
      <c r="A129" s="14" t="s">
        <v>122</v>
      </c>
      <c r="B129" s="15">
        <v>1</v>
      </c>
      <c r="C129" s="14">
        <v>468.19</v>
      </c>
      <c r="D129" s="51">
        <v>1.6</v>
      </c>
      <c r="E129" s="51">
        <f t="shared" si="6"/>
        <v>749.10400000000004</v>
      </c>
      <c r="F129" s="16"/>
      <c r="G129" s="23">
        <v>1.95</v>
      </c>
      <c r="H129" s="27">
        <f t="shared" si="3"/>
        <v>912.97050000000002</v>
      </c>
      <c r="I129" s="29"/>
      <c r="J129" s="13"/>
      <c r="K129" s="8">
        <v>1.5</v>
      </c>
      <c r="L129" s="8">
        <f t="shared" si="4"/>
        <v>702.28499999999997</v>
      </c>
    </row>
    <row r="130" spans="1:12" x14ac:dyDescent="0.3">
      <c r="A130" s="14" t="s">
        <v>123</v>
      </c>
      <c r="B130" s="15">
        <v>1</v>
      </c>
      <c r="C130" s="14">
        <v>922.57</v>
      </c>
      <c r="D130" s="51">
        <v>1.6</v>
      </c>
      <c r="E130" s="51">
        <f t="shared" si="6"/>
        <v>1476.1120000000001</v>
      </c>
      <c r="F130" s="16"/>
      <c r="G130" s="23">
        <v>1.95</v>
      </c>
      <c r="H130" s="27">
        <f t="shared" si="3"/>
        <v>1799.0115000000001</v>
      </c>
      <c r="I130" s="29"/>
      <c r="J130" s="13"/>
      <c r="K130" s="8">
        <v>1.5</v>
      </c>
      <c r="L130" s="8">
        <f t="shared" si="4"/>
        <v>1383.855</v>
      </c>
    </row>
    <row r="131" spans="1:12" x14ac:dyDescent="0.3">
      <c r="A131" s="82" t="s">
        <v>124</v>
      </c>
      <c r="B131" s="74"/>
      <c r="C131" s="75"/>
      <c r="D131" s="83"/>
      <c r="E131" s="83"/>
      <c r="F131" s="75"/>
      <c r="G131" s="70"/>
      <c r="H131" s="71"/>
      <c r="I131" s="72"/>
      <c r="J131" s="70"/>
      <c r="K131" s="76"/>
      <c r="L131" s="76"/>
    </row>
    <row r="132" spans="1:12" x14ac:dyDescent="0.3">
      <c r="A132" s="14" t="s">
        <v>125</v>
      </c>
      <c r="B132" s="15">
        <v>100</v>
      </c>
      <c r="C132" s="14">
        <v>10924.5</v>
      </c>
      <c r="D132" s="51">
        <v>1.6</v>
      </c>
      <c r="E132" s="51">
        <f t="shared" si="6"/>
        <v>17479.2</v>
      </c>
      <c r="F132" s="16">
        <v>17480</v>
      </c>
      <c r="G132" s="23">
        <v>1.95</v>
      </c>
      <c r="H132" s="27">
        <f t="shared" si="3"/>
        <v>21302.774999999998</v>
      </c>
      <c r="I132" s="29">
        <v>21310</v>
      </c>
      <c r="J132" s="13">
        <v>16390</v>
      </c>
      <c r="K132" s="8">
        <v>1.5</v>
      </c>
      <c r="L132" s="8">
        <f t="shared" si="4"/>
        <v>16386.75</v>
      </c>
    </row>
    <row r="133" spans="1:12" x14ac:dyDescent="0.3">
      <c r="A133" s="14" t="s">
        <v>126</v>
      </c>
      <c r="B133" s="15">
        <v>100</v>
      </c>
      <c r="C133" s="14">
        <v>12501</v>
      </c>
      <c r="D133" s="51">
        <v>1.6</v>
      </c>
      <c r="E133" s="51">
        <f t="shared" si="6"/>
        <v>20001.600000000002</v>
      </c>
      <c r="F133" s="16">
        <v>20000</v>
      </c>
      <c r="G133" s="23">
        <v>1.95</v>
      </c>
      <c r="H133" s="27">
        <f t="shared" si="3"/>
        <v>24376.95</v>
      </c>
      <c r="I133" s="29">
        <v>24380</v>
      </c>
      <c r="J133" s="13">
        <v>18760</v>
      </c>
      <c r="K133" s="8">
        <v>1.5</v>
      </c>
      <c r="L133" s="8">
        <f t="shared" si="4"/>
        <v>18751.5</v>
      </c>
    </row>
    <row r="134" spans="1:12" x14ac:dyDescent="0.3">
      <c r="A134" s="14" t="s">
        <v>127</v>
      </c>
      <c r="B134" s="15">
        <v>100</v>
      </c>
      <c r="C134" s="14">
        <v>20825.61</v>
      </c>
      <c r="D134" s="51">
        <v>1.6</v>
      </c>
      <c r="E134" s="51">
        <f t="shared" si="6"/>
        <v>33320.976000000002</v>
      </c>
      <c r="F134" s="16"/>
      <c r="G134" s="23">
        <v>1.95</v>
      </c>
      <c r="H134" s="27">
        <f t="shared" si="3"/>
        <v>40609.9395</v>
      </c>
      <c r="I134" s="29"/>
      <c r="J134" s="13">
        <v>31240</v>
      </c>
      <c r="K134" s="8">
        <v>1.5</v>
      </c>
      <c r="L134" s="8">
        <f t="shared" si="4"/>
        <v>31238.415000000001</v>
      </c>
    </row>
    <row r="135" spans="1:12" x14ac:dyDescent="0.3">
      <c r="A135" s="14" t="s">
        <v>128</v>
      </c>
      <c r="B135" s="15">
        <v>100</v>
      </c>
      <c r="C135" s="14">
        <v>7811.81</v>
      </c>
      <c r="D135" s="51">
        <v>1.6</v>
      </c>
      <c r="E135" s="51">
        <f t="shared" si="6"/>
        <v>12498.896000000001</v>
      </c>
      <c r="F135" s="16">
        <v>12500</v>
      </c>
      <c r="G135" s="23">
        <v>1.95</v>
      </c>
      <c r="H135" s="27">
        <f t="shared" si="3"/>
        <v>15233.029500000001</v>
      </c>
      <c r="I135" s="29">
        <v>15240</v>
      </c>
      <c r="J135" s="13">
        <v>11720</v>
      </c>
      <c r="K135" s="8">
        <v>1.5</v>
      </c>
      <c r="L135" s="8">
        <f t="shared" si="4"/>
        <v>11717.715</v>
      </c>
    </row>
    <row r="136" spans="1:12" x14ac:dyDescent="0.3">
      <c r="A136" s="14" t="s">
        <v>277</v>
      </c>
      <c r="B136" s="15">
        <v>100</v>
      </c>
      <c r="C136" s="14">
        <v>773.45</v>
      </c>
      <c r="D136" s="51">
        <v>1.6</v>
      </c>
      <c r="E136" s="51">
        <f t="shared" si="6"/>
        <v>1237.5200000000002</v>
      </c>
      <c r="F136" s="16"/>
      <c r="G136" s="23">
        <v>1.95</v>
      </c>
      <c r="H136" s="27">
        <f t="shared" si="3"/>
        <v>1508.2275</v>
      </c>
      <c r="I136" s="29"/>
      <c r="J136" s="13"/>
      <c r="K136" s="8">
        <v>1.5</v>
      </c>
      <c r="L136" s="8">
        <f t="shared" si="4"/>
        <v>1160.1750000000002</v>
      </c>
    </row>
    <row r="137" spans="1:12" x14ac:dyDescent="0.3">
      <c r="A137" s="14" t="s">
        <v>129</v>
      </c>
      <c r="B137" s="15">
        <v>100</v>
      </c>
      <c r="C137" s="14">
        <v>8891.15</v>
      </c>
      <c r="D137" s="51">
        <v>1.6</v>
      </c>
      <c r="E137" s="51">
        <f t="shared" si="6"/>
        <v>14225.84</v>
      </c>
      <c r="F137" s="16">
        <v>14230</v>
      </c>
      <c r="G137" s="23">
        <v>1.95</v>
      </c>
      <c r="H137" s="27">
        <f t="shared" si="3"/>
        <v>17337.7425</v>
      </c>
      <c r="I137" s="29">
        <v>17340</v>
      </c>
      <c r="J137" s="13">
        <v>13340</v>
      </c>
      <c r="K137" s="8">
        <v>1.5</v>
      </c>
      <c r="L137" s="8">
        <f t="shared" si="4"/>
        <v>13336.724999999999</v>
      </c>
    </row>
    <row r="138" spans="1:12" s="107" customFormat="1" x14ac:dyDescent="0.3">
      <c r="A138" s="14" t="s">
        <v>130</v>
      </c>
      <c r="B138" s="15">
        <v>100</v>
      </c>
      <c r="C138" s="14">
        <v>5474.35</v>
      </c>
      <c r="D138" s="51">
        <v>1.6</v>
      </c>
      <c r="E138" s="51">
        <f t="shared" si="6"/>
        <v>8758.9600000000009</v>
      </c>
      <c r="F138" s="16"/>
      <c r="G138" s="23">
        <v>1.95</v>
      </c>
      <c r="H138" s="27">
        <f t="shared" si="3"/>
        <v>10674.9825</v>
      </c>
      <c r="I138" s="29"/>
      <c r="J138" s="13"/>
      <c r="K138" s="8">
        <v>1.5</v>
      </c>
      <c r="L138" s="8">
        <f t="shared" si="4"/>
        <v>8211.5250000000015</v>
      </c>
    </row>
    <row r="139" spans="1:12" x14ac:dyDescent="0.3">
      <c r="A139" s="14" t="s">
        <v>131</v>
      </c>
      <c r="B139" s="15">
        <v>100</v>
      </c>
      <c r="C139" s="14">
        <v>1634.61</v>
      </c>
      <c r="D139" s="51">
        <v>1.6</v>
      </c>
      <c r="E139" s="51">
        <f t="shared" si="6"/>
        <v>2615.3760000000002</v>
      </c>
      <c r="F139" s="16">
        <v>2620</v>
      </c>
      <c r="G139" s="23">
        <v>1.95</v>
      </c>
      <c r="H139" s="27">
        <f t="shared" si="3"/>
        <v>3187.4894999999997</v>
      </c>
      <c r="I139" s="29">
        <v>3190</v>
      </c>
      <c r="J139" s="13">
        <v>2460</v>
      </c>
      <c r="K139" s="8">
        <v>1.5</v>
      </c>
      <c r="L139" s="8">
        <f t="shared" si="4"/>
        <v>2451.915</v>
      </c>
    </row>
    <row r="140" spans="1:12" x14ac:dyDescent="0.3">
      <c r="A140" s="108" t="s">
        <v>132</v>
      </c>
      <c r="B140" s="85"/>
      <c r="C140" s="75"/>
      <c r="D140" s="83"/>
      <c r="E140" s="83"/>
      <c r="F140" s="109"/>
      <c r="G140" s="70"/>
      <c r="H140" s="110"/>
      <c r="I140" s="111"/>
      <c r="J140" s="112"/>
      <c r="K140" s="76"/>
      <c r="L140" s="113"/>
    </row>
    <row r="141" spans="1:12" x14ac:dyDescent="0.3">
      <c r="A141" s="114" t="s">
        <v>246</v>
      </c>
      <c r="B141" s="105">
        <v>100</v>
      </c>
      <c r="C141" s="106">
        <v>2792.57</v>
      </c>
      <c r="D141" s="51">
        <v>1.6</v>
      </c>
      <c r="E141" s="51">
        <f t="shared" si="6"/>
        <v>4468.1120000000001</v>
      </c>
      <c r="F141" s="121">
        <v>4470</v>
      </c>
      <c r="G141" s="23">
        <v>1.95</v>
      </c>
      <c r="H141" s="27">
        <f t="shared" si="3"/>
        <v>5445.5115000000005</v>
      </c>
      <c r="I141" s="29">
        <v>5450</v>
      </c>
      <c r="J141" s="13">
        <v>4190</v>
      </c>
      <c r="K141" s="8">
        <v>1.5</v>
      </c>
      <c r="L141" s="8">
        <f t="shared" si="4"/>
        <v>4188.8550000000005</v>
      </c>
    </row>
    <row r="142" spans="1:12" x14ac:dyDescent="0.3">
      <c r="A142" s="14" t="s">
        <v>133</v>
      </c>
      <c r="B142" s="15">
        <v>100</v>
      </c>
      <c r="C142" s="14">
        <v>739.72</v>
      </c>
      <c r="D142" s="51">
        <v>1.6</v>
      </c>
      <c r="E142" s="51">
        <f t="shared" si="6"/>
        <v>1183.5520000000001</v>
      </c>
      <c r="F142" s="16">
        <v>1190</v>
      </c>
      <c r="G142" s="23">
        <v>1.95</v>
      </c>
      <c r="H142" s="27">
        <f t="shared" si="3"/>
        <v>1442.454</v>
      </c>
      <c r="I142" s="29">
        <v>1450</v>
      </c>
      <c r="J142" s="13">
        <v>1100</v>
      </c>
      <c r="K142" s="8">
        <v>1.5</v>
      </c>
      <c r="L142" s="8">
        <f t="shared" si="4"/>
        <v>1109.58</v>
      </c>
    </row>
    <row r="143" spans="1:12" x14ac:dyDescent="0.3">
      <c r="A143" s="14" t="s">
        <v>356</v>
      </c>
      <c r="B143" s="15">
        <v>100</v>
      </c>
      <c r="C143" s="14">
        <v>1300.6300000000001</v>
      </c>
      <c r="D143" s="51">
        <v>1.6</v>
      </c>
      <c r="E143" s="51">
        <f t="shared" si="6"/>
        <v>2081.0080000000003</v>
      </c>
      <c r="F143" s="16">
        <v>2090</v>
      </c>
      <c r="G143" s="23">
        <v>1.95</v>
      </c>
      <c r="H143" s="27">
        <f t="shared" si="3"/>
        <v>2536.2285000000002</v>
      </c>
      <c r="I143" s="29">
        <v>2550</v>
      </c>
      <c r="J143" s="13">
        <v>1950</v>
      </c>
      <c r="K143" s="8">
        <v>1.5</v>
      </c>
      <c r="L143" s="8">
        <f t="shared" si="4"/>
        <v>1950.9450000000002</v>
      </c>
    </row>
    <row r="144" spans="1:12" x14ac:dyDescent="0.3">
      <c r="A144" s="14" t="s">
        <v>135</v>
      </c>
      <c r="B144" s="15">
        <v>100</v>
      </c>
      <c r="C144" s="14">
        <v>1756.35</v>
      </c>
      <c r="D144" s="51">
        <v>1.6</v>
      </c>
      <c r="E144" s="51">
        <f t="shared" si="6"/>
        <v>2810.16</v>
      </c>
      <c r="F144" s="16">
        <v>2810</v>
      </c>
      <c r="G144" s="23">
        <v>1.95</v>
      </c>
      <c r="H144" s="27">
        <f t="shared" si="3"/>
        <v>3424.8824999999997</v>
      </c>
      <c r="I144" s="29">
        <v>3440</v>
      </c>
      <c r="J144" s="13">
        <v>2650</v>
      </c>
      <c r="K144" s="8">
        <v>1.5</v>
      </c>
      <c r="L144" s="8">
        <f t="shared" si="4"/>
        <v>2634.5249999999996</v>
      </c>
    </row>
    <row r="145" spans="1:14" x14ac:dyDescent="0.3">
      <c r="A145" s="14" t="s">
        <v>136</v>
      </c>
      <c r="B145" s="15">
        <v>100</v>
      </c>
      <c r="C145" s="14">
        <v>2176.42</v>
      </c>
      <c r="D145" s="51">
        <v>1.6</v>
      </c>
      <c r="E145" s="51">
        <f t="shared" si="6"/>
        <v>3482.2720000000004</v>
      </c>
      <c r="F145" s="16">
        <v>3490</v>
      </c>
      <c r="G145" s="23">
        <v>1.95</v>
      </c>
      <c r="H145" s="27">
        <f t="shared" si="3"/>
        <v>4244.0190000000002</v>
      </c>
      <c r="I145" s="29">
        <v>4250</v>
      </c>
      <c r="J145" s="13">
        <v>3270</v>
      </c>
      <c r="K145" s="8">
        <v>1.5</v>
      </c>
      <c r="L145" s="8">
        <f t="shared" si="4"/>
        <v>3264.63</v>
      </c>
    </row>
    <row r="146" spans="1:14" x14ac:dyDescent="0.3">
      <c r="A146" s="14" t="s">
        <v>137</v>
      </c>
      <c r="B146" s="15">
        <v>100</v>
      </c>
      <c r="C146" s="14">
        <v>2851.52</v>
      </c>
      <c r="D146" s="51">
        <v>1.6</v>
      </c>
      <c r="E146" s="51">
        <f t="shared" si="6"/>
        <v>4562.4319999999998</v>
      </c>
      <c r="F146" s="16">
        <v>4570</v>
      </c>
      <c r="G146" s="23">
        <v>1.95</v>
      </c>
      <c r="H146" s="27">
        <f t="shared" si="3"/>
        <v>5560.4639999999999</v>
      </c>
      <c r="I146" s="29">
        <v>5560</v>
      </c>
      <c r="J146" s="13">
        <v>4280</v>
      </c>
      <c r="K146" s="8">
        <v>1.5</v>
      </c>
      <c r="L146" s="8">
        <f t="shared" si="4"/>
        <v>4277.28</v>
      </c>
    </row>
    <row r="147" spans="1:14" x14ac:dyDescent="0.3">
      <c r="A147" s="14" t="s">
        <v>138</v>
      </c>
      <c r="B147" s="15">
        <v>100</v>
      </c>
      <c r="C147" s="14">
        <v>2961.3</v>
      </c>
      <c r="D147" s="51">
        <v>1.6</v>
      </c>
      <c r="E147" s="51">
        <f t="shared" si="6"/>
        <v>4738.0800000000008</v>
      </c>
      <c r="F147" s="16">
        <v>4740</v>
      </c>
      <c r="G147" s="23">
        <v>1.95</v>
      </c>
      <c r="H147" s="27">
        <f t="shared" si="3"/>
        <v>5774.5349999999999</v>
      </c>
      <c r="I147" s="29">
        <v>5780</v>
      </c>
      <c r="J147" s="13">
        <v>4450</v>
      </c>
      <c r="K147" s="8">
        <v>1.5</v>
      </c>
      <c r="L147" s="8">
        <f t="shared" si="4"/>
        <v>4441.9500000000007</v>
      </c>
    </row>
    <row r="148" spans="1:14" x14ac:dyDescent="0.3">
      <c r="A148" s="115" t="s">
        <v>139</v>
      </c>
      <c r="B148" s="74"/>
      <c r="C148" s="75"/>
      <c r="D148" s="83"/>
      <c r="E148" s="83"/>
      <c r="F148" s="116"/>
      <c r="G148" s="70"/>
      <c r="H148" s="117"/>
      <c r="I148" s="118"/>
      <c r="J148" s="119"/>
      <c r="K148" s="76"/>
      <c r="L148" s="120"/>
    </row>
    <row r="149" spans="1:14" x14ac:dyDescent="0.3">
      <c r="A149" s="14" t="s">
        <v>140</v>
      </c>
      <c r="B149" s="15" t="s">
        <v>141</v>
      </c>
      <c r="C149" s="14">
        <v>1455.3</v>
      </c>
      <c r="D149" s="51">
        <v>1.6</v>
      </c>
      <c r="E149" s="51">
        <f t="shared" si="6"/>
        <v>2328.48</v>
      </c>
      <c r="F149" s="16">
        <v>2350</v>
      </c>
      <c r="G149" s="23">
        <v>1.95</v>
      </c>
      <c r="H149" s="27">
        <f t="shared" si="3"/>
        <v>2837.835</v>
      </c>
      <c r="I149" s="29">
        <v>2840</v>
      </c>
      <c r="J149" s="13">
        <v>2200</v>
      </c>
      <c r="K149" s="8">
        <v>1.5</v>
      </c>
      <c r="L149" s="8">
        <f t="shared" si="4"/>
        <v>2182.9499999999998</v>
      </c>
    </row>
    <row r="150" spans="1:14" x14ac:dyDescent="0.3">
      <c r="A150" s="2" t="s">
        <v>247</v>
      </c>
      <c r="B150" s="15" t="s">
        <v>141</v>
      </c>
      <c r="C150" s="14">
        <v>3560</v>
      </c>
      <c r="D150" s="51">
        <v>1.6</v>
      </c>
      <c r="E150" s="51">
        <f t="shared" si="6"/>
        <v>5696</v>
      </c>
      <c r="F150" s="16"/>
      <c r="G150" s="23">
        <v>1.95</v>
      </c>
      <c r="H150" s="27">
        <f t="shared" si="3"/>
        <v>6942</v>
      </c>
      <c r="I150" s="29"/>
      <c r="J150" s="13"/>
      <c r="K150" s="8">
        <v>1.5</v>
      </c>
      <c r="L150" s="8">
        <f t="shared" si="4"/>
        <v>5340</v>
      </c>
    </row>
    <row r="151" spans="1:14" x14ac:dyDescent="0.3">
      <c r="A151" s="2" t="s">
        <v>283</v>
      </c>
      <c r="B151" s="15" t="s">
        <v>141</v>
      </c>
      <c r="C151" s="14">
        <v>1570.34</v>
      </c>
      <c r="D151" s="51">
        <v>1.6</v>
      </c>
      <c r="E151" s="51">
        <f t="shared" si="6"/>
        <v>2512.5439999999999</v>
      </c>
      <c r="F151" s="16">
        <v>2520</v>
      </c>
      <c r="G151" s="23">
        <v>1.95</v>
      </c>
      <c r="H151" s="27">
        <f t="shared" si="3"/>
        <v>3062.1629999999996</v>
      </c>
      <c r="I151" s="29">
        <v>3070</v>
      </c>
      <c r="J151" s="13">
        <v>2360</v>
      </c>
      <c r="K151" s="8">
        <v>1.5</v>
      </c>
      <c r="L151" s="8">
        <f t="shared" si="4"/>
        <v>2355.5099999999998</v>
      </c>
    </row>
    <row r="152" spans="1:14" x14ac:dyDescent="0.3">
      <c r="A152" s="14" t="s">
        <v>239</v>
      </c>
      <c r="B152" s="15" t="s">
        <v>141</v>
      </c>
      <c r="C152" s="14">
        <v>2990</v>
      </c>
      <c r="D152" s="51">
        <v>1.6</v>
      </c>
      <c r="E152" s="51">
        <f t="shared" si="6"/>
        <v>4784</v>
      </c>
      <c r="F152" s="16">
        <v>4790</v>
      </c>
      <c r="G152" s="23">
        <v>1.95</v>
      </c>
      <c r="H152" s="27">
        <f t="shared" si="3"/>
        <v>5830.5</v>
      </c>
      <c r="I152" s="29">
        <v>5830</v>
      </c>
      <c r="J152" s="13">
        <v>4490</v>
      </c>
      <c r="K152" s="8">
        <v>1.5</v>
      </c>
      <c r="L152" s="8">
        <f t="shared" si="4"/>
        <v>4485</v>
      </c>
    </row>
    <row r="153" spans="1:14" x14ac:dyDescent="0.3">
      <c r="A153" s="14" t="s">
        <v>142</v>
      </c>
      <c r="B153" s="15" t="s">
        <v>141</v>
      </c>
      <c r="C153" s="14">
        <v>1362.69</v>
      </c>
      <c r="D153" s="51">
        <v>1.6</v>
      </c>
      <c r="E153" s="51">
        <f t="shared" si="6"/>
        <v>2180.3040000000001</v>
      </c>
      <c r="F153" s="16">
        <v>2180</v>
      </c>
      <c r="G153" s="23">
        <v>1.95</v>
      </c>
      <c r="H153" s="27">
        <f t="shared" si="3"/>
        <v>2657.2455</v>
      </c>
      <c r="I153" s="29">
        <v>2660</v>
      </c>
      <c r="J153" s="13">
        <v>2050</v>
      </c>
      <c r="K153" s="8">
        <v>1.5</v>
      </c>
      <c r="L153" s="8">
        <f t="shared" si="4"/>
        <v>2044.0350000000001</v>
      </c>
    </row>
    <row r="154" spans="1:14" x14ac:dyDescent="0.3">
      <c r="A154" s="82" t="s">
        <v>147</v>
      </c>
      <c r="B154" s="74"/>
      <c r="C154" s="75"/>
      <c r="D154" s="83"/>
      <c r="E154" s="83"/>
      <c r="F154" s="75"/>
      <c r="G154" s="70"/>
      <c r="H154" s="71"/>
      <c r="I154" s="72"/>
      <c r="J154" s="70"/>
      <c r="K154" s="76"/>
      <c r="L154" s="76"/>
    </row>
    <row r="155" spans="1:14" x14ac:dyDescent="0.3">
      <c r="A155" s="14" t="s">
        <v>10</v>
      </c>
      <c r="B155" s="15">
        <v>100</v>
      </c>
      <c r="C155" s="14">
        <v>52.7</v>
      </c>
      <c r="D155" s="51">
        <v>1.6</v>
      </c>
      <c r="E155" s="51">
        <f t="shared" si="6"/>
        <v>84.320000000000007</v>
      </c>
      <c r="F155" s="16">
        <v>84</v>
      </c>
      <c r="G155" s="23">
        <v>1.95</v>
      </c>
      <c r="H155" s="27">
        <f t="shared" si="3"/>
        <v>102.765</v>
      </c>
      <c r="I155" s="29">
        <v>110</v>
      </c>
      <c r="J155" s="13">
        <v>80</v>
      </c>
      <c r="K155" s="8">
        <v>1.5</v>
      </c>
      <c r="L155" s="8">
        <f t="shared" si="4"/>
        <v>79.050000000000011</v>
      </c>
    </row>
    <row r="156" spans="1:14" x14ac:dyDescent="0.3">
      <c r="A156" s="14" t="s">
        <v>11</v>
      </c>
      <c r="B156" s="15">
        <v>100</v>
      </c>
      <c r="C156" s="14">
        <v>74.739999999999995</v>
      </c>
      <c r="D156" s="51">
        <v>1.6</v>
      </c>
      <c r="E156" s="51">
        <f t="shared" si="6"/>
        <v>119.584</v>
      </c>
      <c r="F156" s="16">
        <v>120</v>
      </c>
      <c r="G156" s="23">
        <v>1.95</v>
      </c>
      <c r="H156" s="27">
        <f t="shared" si="3"/>
        <v>145.74299999999999</v>
      </c>
      <c r="I156" s="29">
        <v>150</v>
      </c>
      <c r="J156" s="13">
        <v>115</v>
      </c>
      <c r="K156" s="8">
        <v>1.5</v>
      </c>
      <c r="L156" s="8">
        <f t="shared" si="4"/>
        <v>112.10999999999999</v>
      </c>
      <c r="N156">
        <f>30257.96/6</f>
        <v>5042.9933333333329</v>
      </c>
    </row>
    <row r="157" spans="1:14" x14ac:dyDescent="0.3">
      <c r="A157" s="14" t="s">
        <v>143</v>
      </c>
      <c r="B157" s="15">
        <v>100</v>
      </c>
      <c r="C157" s="14">
        <v>52.7</v>
      </c>
      <c r="D157" s="51">
        <v>1.6</v>
      </c>
      <c r="E157" s="51">
        <f t="shared" si="6"/>
        <v>84.320000000000007</v>
      </c>
      <c r="F157" s="16">
        <v>84</v>
      </c>
      <c r="G157" s="23">
        <v>1.95</v>
      </c>
      <c r="H157" s="27">
        <f t="shared" si="3"/>
        <v>102.765</v>
      </c>
      <c r="I157" s="29">
        <v>110</v>
      </c>
      <c r="J157" s="13">
        <v>80</v>
      </c>
      <c r="K157" s="8">
        <v>1.5</v>
      </c>
      <c r="L157" s="8">
        <f t="shared" si="4"/>
        <v>79.050000000000011</v>
      </c>
    </row>
    <row r="158" spans="1:14" x14ac:dyDescent="0.3">
      <c r="A158" s="14" t="s">
        <v>144</v>
      </c>
      <c r="B158" s="15">
        <v>100</v>
      </c>
      <c r="C158" s="14">
        <v>37.799999999999997</v>
      </c>
      <c r="D158" s="51">
        <v>1.6</v>
      </c>
      <c r="E158" s="51">
        <f t="shared" si="6"/>
        <v>60.48</v>
      </c>
      <c r="F158" s="16">
        <v>60</v>
      </c>
      <c r="G158" s="23">
        <v>1.95</v>
      </c>
      <c r="H158" s="27">
        <f t="shared" si="3"/>
        <v>73.709999999999994</v>
      </c>
      <c r="I158" s="29">
        <v>75</v>
      </c>
      <c r="J158" s="13">
        <v>57</v>
      </c>
      <c r="K158" s="8">
        <v>1.5</v>
      </c>
      <c r="L158" s="8">
        <f t="shared" si="4"/>
        <v>56.699999999999996</v>
      </c>
    </row>
    <row r="159" spans="1:14" x14ac:dyDescent="0.3">
      <c r="A159" s="21" t="s">
        <v>145</v>
      </c>
      <c r="B159" s="22">
        <v>100</v>
      </c>
      <c r="C159" s="21">
        <v>114.45</v>
      </c>
      <c r="D159" s="51">
        <v>1.6</v>
      </c>
      <c r="E159" s="51">
        <f t="shared" si="6"/>
        <v>183.12</v>
      </c>
      <c r="F159" s="16">
        <v>190</v>
      </c>
      <c r="G159" s="23">
        <v>1.95</v>
      </c>
      <c r="H159" s="27">
        <f t="shared" si="3"/>
        <v>223.17750000000001</v>
      </c>
      <c r="I159" s="29">
        <v>230</v>
      </c>
      <c r="J159" s="13">
        <v>170</v>
      </c>
      <c r="K159" s="8">
        <v>1.5</v>
      </c>
      <c r="L159" s="8">
        <f t="shared" si="4"/>
        <v>171.67500000000001</v>
      </c>
    </row>
    <row r="160" spans="1:14" x14ac:dyDescent="0.3">
      <c r="A160" s="21" t="s">
        <v>243</v>
      </c>
      <c r="B160" s="22">
        <v>100</v>
      </c>
      <c r="C160" s="21">
        <v>149.25</v>
      </c>
      <c r="D160" s="51">
        <v>1.6</v>
      </c>
      <c r="E160" s="51">
        <f t="shared" si="6"/>
        <v>238.8</v>
      </c>
      <c r="F160" s="16">
        <v>240</v>
      </c>
      <c r="G160" s="23">
        <v>1.95</v>
      </c>
      <c r="H160" s="27">
        <f t="shared" si="3"/>
        <v>291.03749999999997</v>
      </c>
      <c r="I160" s="29">
        <v>290</v>
      </c>
      <c r="J160" s="13">
        <v>230</v>
      </c>
      <c r="K160" s="8">
        <v>1.5</v>
      </c>
      <c r="L160" s="8">
        <f t="shared" si="4"/>
        <v>223.875</v>
      </c>
    </row>
    <row r="161" spans="1:14" x14ac:dyDescent="0.3">
      <c r="A161" s="14" t="s">
        <v>146</v>
      </c>
      <c r="B161" s="15">
        <v>100</v>
      </c>
      <c r="C161" s="14">
        <v>158.55000000000001</v>
      </c>
      <c r="D161" s="51">
        <v>1.6</v>
      </c>
      <c r="E161" s="51">
        <f t="shared" si="6"/>
        <v>253.68000000000004</v>
      </c>
      <c r="F161" s="16">
        <v>260</v>
      </c>
      <c r="G161" s="23">
        <v>1.95</v>
      </c>
      <c r="H161" s="27">
        <f t="shared" si="3"/>
        <v>309.17250000000001</v>
      </c>
      <c r="I161" s="29">
        <v>310</v>
      </c>
      <c r="J161" s="13">
        <v>240</v>
      </c>
      <c r="K161" s="8">
        <v>1.5</v>
      </c>
      <c r="L161" s="8">
        <f t="shared" si="4"/>
        <v>237.82500000000002</v>
      </c>
    </row>
    <row r="162" spans="1:14" x14ac:dyDescent="0.3">
      <c r="A162" s="82" t="s">
        <v>148</v>
      </c>
      <c r="B162" s="74"/>
      <c r="C162" s="75"/>
      <c r="D162" s="83"/>
      <c r="E162" s="83"/>
      <c r="F162" s="75"/>
      <c r="G162" s="70"/>
      <c r="H162" s="71"/>
      <c r="I162" s="72"/>
      <c r="J162" s="70"/>
      <c r="K162" s="76"/>
      <c r="L162" s="76"/>
    </row>
    <row r="163" spans="1:14" x14ac:dyDescent="0.3">
      <c r="A163" s="14" t="s">
        <v>149</v>
      </c>
      <c r="B163" s="15">
        <v>100</v>
      </c>
      <c r="C163" s="14">
        <v>4592.93</v>
      </c>
      <c r="D163" s="51">
        <v>1.6</v>
      </c>
      <c r="E163" s="51">
        <f t="shared" si="6"/>
        <v>7348.688000000001</v>
      </c>
      <c r="F163" s="16">
        <v>7350</v>
      </c>
      <c r="G163" s="23">
        <v>1.95</v>
      </c>
      <c r="H163" s="27">
        <f t="shared" si="3"/>
        <v>8956.2134999999998</v>
      </c>
      <c r="I163" s="29">
        <v>8960</v>
      </c>
      <c r="J163" s="13">
        <v>6890</v>
      </c>
      <c r="K163" s="8">
        <v>1.5</v>
      </c>
      <c r="L163" s="8">
        <f t="shared" si="4"/>
        <v>6889.3950000000004</v>
      </c>
    </row>
    <row r="164" spans="1:14" x14ac:dyDescent="0.3">
      <c r="A164" s="14" t="s">
        <v>150</v>
      </c>
      <c r="B164" s="15">
        <v>100</v>
      </c>
      <c r="C164" s="14">
        <v>5147.33</v>
      </c>
      <c r="D164" s="51">
        <v>1.6</v>
      </c>
      <c r="E164" s="51">
        <f t="shared" si="6"/>
        <v>8235.728000000001</v>
      </c>
      <c r="F164" s="16">
        <v>8250</v>
      </c>
      <c r="G164" s="23">
        <v>1.95</v>
      </c>
      <c r="H164" s="27">
        <f t="shared" si="3"/>
        <v>10037.2935</v>
      </c>
      <c r="I164" s="29">
        <v>10100</v>
      </c>
      <c r="J164" s="13">
        <v>7750</v>
      </c>
      <c r="K164" s="8">
        <v>1.5</v>
      </c>
      <c r="L164" s="8">
        <f t="shared" si="4"/>
        <v>7720.9949999999999</v>
      </c>
    </row>
    <row r="165" spans="1:14" x14ac:dyDescent="0.3">
      <c r="A165" s="14" t="s">
        <v>151</v>
      </c>
      <c r="B165" s="15">
        <v>100</v>
      </c>
      <c r="C165" s="14">
        <v>6930</v>
      </c>
      <c r="D165" s="51">
        <v>1.6</v>
      </c>
      <c r="E165" s="51">
        <f t="shared" si="6"/>
        <v>11088</v>
      </c>
      <c r="F165" s="16">
        <v>11100</v>
      </c>
      <c r="G165" s="23">
        <v>1.95</v>
      </c>
      <c r="H165" s="27">
        <f t="shared" si="3"/>
        <v>13513.5</v>
      </c>
      <c r="I165" s="29">
        <v>13550</v>
      </c>
      <c r="J165" s="13">
        <v>10400</v>
      </c>
      <c r="K165" s="8">
        <v>1.5</v>
      </c>
      <c r="L165" s="8">
        <f t="shared" si="4"/>
        <v>10395</v>
      </c>
    </row>
    <row r="166" spans="1:14" x14ac:dyDescent="0.3">
      <c r="A166" s="14" t="s">
        <v>152</v>
      </c>
      <c r="B166" s="15">
        <v>100</v>
      </c>
      <c r="C166" s="14">
        <v>9236.43</v>
      </c>
      <c r="D166" s="51">
        <v>1.6</v>
      </c>
      <c r="E166" s="51">
        <f t="shared" si="6"/>
        <v>14778.288</v>
      </c>
      <c r="F166" s="16">
        <v>14780</v>
      </c>
      <c r="G166" s="23">
        <v>1.95</v>
      </c>
      <c r="H166" s="27">
        <f t="shared" si="3"/>
        <v>18011.038499999999</v>
      </c>
      <c r="I166" s="29">
        <v>18000</v>
      </c>
      <c r="J166" s="13">
        <v>13860</v>
      </c>
      <c r="K166" s="8">
        <v>1.5</v>
      </c>
      <c r="L166" s="8">
        <f t="shared" si="4"/>
        <v>13854.645</v>
      </c>
      <c r="N166">
        <f>395*1.6</f>
        <v>632</v>
      </c>
    </row>
    <row r="167" spans="1:14" x14ac:dyDescent="0.3">
      <c r="A167" s="14" t="s">
        <v>153</v>
      </c>
      <c r="B167" s="15">
        <v>100</v>
      </c>
      <c r="C167" s="14">
        <v>18180</v>
      </c>
      <c r="D167" s="51">
        <v>1.6</v>
      </c>
      <c r="E167" s="51">
        <f t="shared" si="6"/>
        <v>29088</v>
      </c>
      <c r="F167" s="16">
        <v>29100</v>
      </c>
      <c r="G167" s="23">
        <v>1.95</v>
      </c>
      <c r="H167" s="27">
        <f t="shared" si="3"/>
        <v>35451</v>
      </c>
      <c r="I167" s="29">
        <v>35450</v>
      </c>
      <c r="J167" s="13">
        <v>27270</v>
      </c>
      <c r="K167" s="8">
        <v>1.5</v>
      </c>
      <c r="L167" s="8">
        <f t="shared" si="4"/>
        <v>27270</v>
      </c>
    </row>
    <row r="168" spans="1:14" x14ac:dyDescent="0.3">
      <c r="A168" s="14" t="s">
        <v>154</v>
      </c>
      <c r="B168" s="15">
        <v>100</v>
      </c>
      <c r="C168" s="14">
        <v>6918</v>
      </c>
      <c r="D168" s="51">
        <v>1.6</v>
      </c>
      <c r="E168" s="51">
        <f t="shared" si="6"/>
        <v>11068.800000000001</v>
      </c>
      <c r="F168" s="16">
        <v>11100</v>
      </c>
      <c r="G168" s="23">
        <v>1.95</v>
      </c>
      <c r="H168" s="27">
        <f t="shared" si="3"/>
        <v>13490.1</v>
      </c>
      <c r="I168" s="29">
        <v>13500</v>
      </c>
      <c r="J168" s="13">
        <v>10380</v>
      </c>
      <c r="K168" s="8">
        <v>1.5</v>
      </c>
      <c r="L168" s="8">
        <f t="shared" si="4"/>
        <v>10377</v>
      </c>
    </row>
    <row r="169" spans="1:14" x14ac:dyDescent="0.3">
      <c r="A169" s="14" t="s">
        <v>355</v>
      </c>
      <c r="B169" s="15">
        <v>100</v>
      </c>
      <c r="C169" s="14">
        <v>6583.5</v>
      </c>
      <c r="D169" s="51">
        <v>1.6</v>
      </c>
      <c r="E169" s="51">
        <f t="shared" si="6"/>
        <v>10533.6</v>
      </c>
      <c r="F169" s="16">
        <v>10550</v>
      </c>
      <c r="G169" s="23">
        <v>1.95</v>
      </c>
      <c r="H169" s="27">
        <f t="shared" si="3"/>
        <v>12837.824999999999</v>
      </c>
      <c r="I169" s="29">
        <v>12840</v>
      </c>
      <c r="J169" s="13">
        <v>9880</v>
      </c>
      <c r="K169" s="8">
        <v>1.5</v>
      </c>
      <c r="L169" s="8">
        <f t="shared" si="4"/>
        <v>9875.25</v>
      </c>
    </row>
    <row r="170" spans="1:14" x14ac:dyDescent="0.3">
      <c r="A170" s="14" t="s">
        <v>155</v>
      </c>
      <c r="B170" s="15">
        <v>100</v>
      </c>
      <c r="C170" s="14">
        <v>9079.89</v>
      </c>
      <c r="D170" s="51">
        <v>1.6</v>
      </c>
      <c r="E170" s="51">
        <f t="shared" si="6"/>
        <v>14527.824000000001</v>
      </c>
      <c r="F170" s="16">
        <v>14530</v>
      </c>
      <c r="G170" s="23">
        <v>1.95</v>
      </c>
      <c r="H170" s="27">
        <f t="shared" si="3"/>
        <v>17705.785499999998</v>
      </c>
      <c r="I170" s="29">
        <v>17700</v>
      </c>
      <c r="J170" s="13">
        <v>13650</v>
      </c>
      <c r="K170" s="8">
        <v>1.5</v>
      </c>
      <c r="L170" s="8">
        <f t="shared" si="4"/>
        <v>13619.834999999999</v>
      </c>
      <c r="N170">
        <f>6144.11+2528.98</f>
        <v>8673.09</v>
      </c>
    </row>
    <row r="171" spans="1:14" x14ac:dyDescent="0.3">
      <c r="A171" s="14" t="s">
        <v>156</v>
      </c>
      <c r="B171" s="15">
        <v>1</v>
      </c>
      <c r="C171" s="14">
        <v>146.27000000000001</v>
      </c>
      <c r="D171" s="51">
        <v>1.6</v>
      </c>
      <c r="E171" s="51">
        <f t="shared" si="6"/>
        <v>234.03200000000004</v>
      </c>
      <c r="F171" s="16"/>
      <c r="G171" s="23">
        <v>1.95</v>
      </c>
      <c r="H171" s="27">
        <f t="shared" si="3"/>
        <v>285.22649999999999</v>
      </c>
      <c r="I171" s="29"/>
      <c r="J171" s="13"/>
      <c r="K171" s="8">
        <v>1.5</v>
      </c>
      <c r="L171" s="8">
        <f t="shared" si="4"/>
        <v>219.40500000000003</v>
      </c>
    </row>
    <row r="172" spans="1:14" x14ac:dyDescent="0.3">
      <c r="A172" s="14" t="s">
        <v>157</v>
      </c>
      <c r="B172" s="15">
        <v>1</v>
      </c>
      <c r="C172" s="14">
        <v>72.69</v>
      </c>
      <c r="D172" s="51">
        <v>1.6</v>
      </c>
      <c r="E172" s="51">
        <f t="shared" si="6"/>
        <v>116.304</v>
      </c>
      <c r="F172" s="16"/>
      <c r="G172" s="23">
        <v>1.95</v>
      </c>
      <c r="H172" s="27">
        <f t="shared" si="3"/>
        <v>141.74549999999999</v>
      </c>
      <c r="I172" s="29"/>
      <c r="J172" s="13"/>
      <c r="K172" s="8">
        <v>1.5</v>
      </c>
      <c r="L172" s="8">
        <f t="shared" si="4"/>
        <v>109.035</v>
      </c>
      <c r="N172">
        <f>28890/10/100</f>
        <v>28.89</v>
      </c>
    </row>
    <row r="173" spans="1:14" x14ac:dyDescent="0.3">
      <c r="A173" s="82" t="s">
        <v>158</v>
      </c>
      <c r="B173" s="74"/>
      <c r="C173" s="75"/>
      <c r="D173" s="83"/>
      <c r="E173" s="83"/>
      <c r="F173" s="75"/>
      <c r="G173" s="70"/>
      <c r="H173" s="71"/>
      <c r="I173" s="72"/>
      <c r="J173" s="70"/>
      <c r="K173" s="76"/>
      <c r="L173" s="76"/>
    </row>
    <row r="174" spans="1:14" x14ac:dyDescent="0.3">
      <c r="A174" s="14" t="s">
        <v>160</v>
      </c>
      <c r="B174" s="15">
        <v>1</v>
      </c>
      <c r="C174" s="14">
        <v>378.76</v>
      </c>
      <c r="D174" s="51">
        <v>1.6</v>
      </c>
      <c r="E174" s="51">
        <f t="shared" si="6"/>
        <v>606.01599999999996</v>
      </c>
      <c r="F174" s="16">
        <v>650</v>
      </c>
      <c r="G174" s="23">
        <v>1.95</v>
      </c>
      <c r="H174" s="27">
        <f t="shared" si="3"/>
        <v>738.58199999999999</v>
      </c>
      <c r="I174" s="29">
        <v>750</v>
      </c>
      <c r="J174" s="13">
        <v>600</v>
      </c>
      <c r="K174" s="8">
        <v>1.5</v>
      </c>
      <c r="L174" s="8">
        <f t="shared" si="4"/>
        <v>568.14</v>
      </c>
    </row>
    <row r="175" spans="1:14" x14ac:dyDescent="0.3">
      <c r="A175" s="14" t="s">
        <v>159</v>
      </c>
      <c r="B175" s="15">
        <v>1</v>
      </c>
      <c r="C175" s="14">
        <v>1355.55</v>
      </c>
      <c r="D175" s="51">
        <v>1.6</v>
      </c>
      <c r="E175" s="51">
        <f t="shared" si="6"/>
        <v>2168.88</v>
      </c>
      <c r="F175" s="16">
        <v>2170</v>
      </c>
      <c r="G175" s="23">
        <v>1.95</v>
      </c>
      <c r="H175" s="27">
        <f t="shared" si="3"/>
        <v>2643.3224999999998</v>
      </c>
      <c r="I175" s="29">
        <v>2650</v>
      </c>
      <c r="J175" s="13">
        <v>2040</v>
      </c>
      <c r="K175" s="8">
        <v>1.5</v>
      </c>
      <c r="L175" s="8">
        <f t="shared" si="4"/>
        <v>2033.3249999999998</v>
      </c>
    </row>
    <row r="176" spans="1:14" x14ac:dyDescent="0.3">
      <c r="A176" s="82" t="s">
        <v>161</v>
      </c>
      <c r="B176" s="74"/>
      <c r="C176" s="75"/>
      <c r="D176" s="83"/>
      <c r="E176" s="83"/>
      <c r="F176" s="75"/>
      <c r="G176" s="70"/>
      <c r="H176" s="71"/>
      <c r="I176" s="72"/>
      <c r="J176" s="70"/>
      <c r="K176" s="76"/>
      <c r="L176" s="76"/>
    </row>
    <row r="177" spans="1:15" x14ac:dyDescent="0.3">
      <c r="A177" s="14" t="s">
        <v>359</v>
      </c>
      <c r="B177" s="15">
        <v>1</v>
      </c>
      <c r="C177" s="14">
        <v>17648.009999999998</v>
      </c>
      <c r="D177" s="51">
        <v>1.6</v>
      </c>
      <c r="E177" s="51">
        <f t="shared" ref="E177:E251" si="7">C177*D177</f>
        <v>28236.815999999999</v>
      </c>
      <c r="F177" s="16">
        <v>2850</v>
      </c>
      <c r="G177" s="23">
        <v>1.95</v>
      </c>
      <c r="H177" s="27">
        <f t="shared" ref="H177:H250" si="8">C177*G177</f>
        <v>34413.619499999993</v>
      </c>
      <c r="I177" s="29">
        <v>3450</v>
      </c>
      <c r="J177" s="13">
        <v>2650</v>
      </c>
      <c r="K177" s="8">
        <v>1.5</v>
      </c>
      <c r="L177" s="8">
        <f t="shared" ref="L177:L250" si="9">C177*K177</f>
        <v>26472.014999999999</v>
      </c>
    </row>
    <row r="178" spans="1:15" x14ac:dyDescent="0.3">
      <c r="A178" s="14" t="s">
        <v>256</v>
      </c>
      <c r="B178" s="15">
        <v>1</v>
      </c>
      <c r="C178" s="14">
        <v>11610.9</v>
      </c>
      <c r="D178" s="51">
        <v>1.6</v>
      </c>
      <c r="E178" s="51">
        <f t="shared" si="7"/>
        <v>18577.439999999999</v>
      </c>
      <c r="F178" s="16">
        <v>1900</v>
      </c>
      <c r="G178" s="23">
        <v>1.95</v>
      </c>
      <c r="H178" s="27">
        <f t="shared" si="8"/>
        <v>22641.254999999997</v>
      </c>
      <c r="I178" s="29">
        <v>2270</v>
      </c>
      <c r="J178" s="13">
        <v>1750</v>
      </c>
      <c r="K178" s="8">
        <v>1.5</v>
      </c>
      <c r="L178" s="8">
        <f t="shared" si="9"/>
        <v>17416.349999999999</v>
      </c>
    </row>
    <row r="179" spans="1:15" x14ac:dyDescent="0.3">
      <c r="A179" s="14" t="s">
        <v>163</v>
      </c>
      <c r="B179" s="15">
        <v>100</v>
      </c>
      <c r="C179" s="14">
        <v>24477.71</v>
      </c>
      <c r="D179" s="51">
        <v>1.6</v>
      </c>
      <c r="E179" s="51">
        <f t="shared" si="7"/>
        <v>39164.336000000003</v>
      </c>
      <c r="F179" s="16">
        <v>3920</v>
      </c>
      <c r="G179" s="23">
        <v>1.95</v>
      </c>
      <c r="H179" s="27">
        <f t="shared" si="8"/>
        <v>47731.534499999994</v>
      </c>
      <c r="I179" s="29">
        <v>4780</v>
      </c>
      <c r="J179" s="13">
        <v>3680</v>
      </c>
      <c r="K179" s="8">
        <v>1.5</v>
      </c>
      <c r="L179" s="8">
        <f t="shared" si="9"/>
        <v>36716.565000000002</v>
      </c>
    </row>
    <row r="180" spans="1:15" x14ac:dyDescent="0.3">
      <c r="A180" s="14" t="s">
        <v>164</v>
      </c>
      <c r="B180" s="15">
        <v>1</v>
      </c>
      <c r="C180" s="14">
        <v>24833.51</v>
      </c>
      <c r="D180" s="51">
        <v>1.6</v>
      </c>
      <c r="E180" s="51">
        <f t="shared" si="7"/>
        <v>39733.616000000002</v>
      </c>
      <c r="F180" s="16">
        <v>3980</v>
      </c>
      <c r="G180" s="23">
        <v>1.95</v>
      </c>
      <c r="H180" s="27">
        <f t="shared" si="8"/>
        <v>48425.344499999999</v>
      </c>
      <c r="I180" s="29">
        <v>4850</v>
      </c>
      <c r="J180" s="13">
        <v>3750</v>
      </c>
      <c r="K180" s="8">
        <v>1.5</v>
      </c>
      <c r="L180" s="8">
        <f t="shared" si="9"/>
        <v>37250.264999999999</v>
      </c>
    </row>
    <row r="181" spans="1:15" x14ac:dyDescent="0.3">
      <c r="A181" s="14" t="s">
        <v>165</v>
      </c>
      <c r="B181" s="15">
        <v>100</v>
      </c>
      <c r="C181" s="14">
        <v>450</v>
      </c>
      <c r="D181" s="51">
        <v>1.6</v>
      </c>
      <c r="E181" s="51">
        <f t="shared" si="7"/>
        <v>720</v>
      </c>
      <c r="F181" s="16">
        <v>720</v>
      </c>
      <c r="G181" s="23">
        <v>1.95</v>
      </c>
      <c r="H181" s="27">
        <f t="shared" si="8"/>
        <v>877.5</v>
      </c>
      <c r="I181" s="29">
        <v>880</v>
      </c>
      <c r="J181" s="13">
        <v>680</v>
      </c>
      <c r="K181" s="8">
        <v>1.5</v>
      </c>
      <c r="L181" s="8">
        <f t="shared" si="9"/>
        <v>675</v>
      </c>
    </row>
    <row r="182" spans="1:15" x14ac:dyDescent="0.3">
      <c r="A182" s="14" t="s">
        <v>166</v>
      </c>
      <c r="B182" s="15">
        <v>100</v>
      </c>
      <c r="C182" s="14">
        <v>1434.8</v>
      </c>
      <c r="D182" s="51">
        <v>1.6</v>
      </c>
      <c r="E182" s="51">
        <f t="shared" si="7"/>
        <v>2295.6799999999998</v>
      </c>
      <c r="F182" s="16"/>
      <c r="G182" s="23">
        <v>1.95</v>
      </c>
      <c r="H182" s="27">
        <f t="shared" si="8"/>
        <v>2797.8599999999997</v>
      </c>
      <c r="I182" s="29"/>
      <c r="J182" s="13"/>
      <c r="K182" s="8">
        <v>1.5</v>
      </c>
      <c r="L182" s="8">
        <f t="shared" si="9"/>
        <v>2152.1999999999998</v>
      </c>
      <c r="N182">
        <f>254+79</f>
        <v>333</v>
      </c>
    </row>
    <row r="183" spans="1:15" x14ac:dyDescent="0.3">
      <c r="A183" s="82" t="s">
        <v>167</v>
      </c>
      <c r="B183" s="74"/>
      <c r="C183" s="75"/>
      <c r="D183" s="83"/>
      <c r="E183" s="83"/>
      <c r="F183" s="75"/>
      <c r="G183" s="70"/>
      <c r="H183" s="71"/>
      <c r="I183" s="72"/>
      <c r="J183" s="70"/>
      <c r="K183" s="76"/>
      <c r="L183" s="76"/>
    </row>
    <row r="184" spans="1:15" x14ac:dyDescent="0.3">
      <c r="A184" s="14" t="s">
        <v>168</v>
      </c>
      <c r="B184" s="15">
        <v>100</v>
      </c>
      <c r="C184" s="14">
        <v>6760.32</v>
      </c>
      <c r="D184" s="51">
        <v>1.6</v>
      </c>
      <c r="E184" s="51">
        <f t="shared" si="7"/>
        <v>10816.512000000001</v>
      </c>
      <c r="F184" s="16">
        <v>10820</v>
      </c>
      <c r="G184" s="23">
        <v>1.95</v>
      </c>
      <c r="H184" s="27">
        <f t="shared" si="8"/>
        <v>13182.624</v>
      </c>
      <c r="I184" s="29">
        <v>13190</v>
      </c>
      <c r="J184" s="13">
        <v>10140</v>
      </c>
      <c r="K184" s="8">
        <v>1.5</v>
      </c>
      <c r="L184" s="8">
        <f t="shared" si="9"/>
        <v>10140.48</v>
      </c>
      <c r="M184">
        <f>10702.69/100</f>
        <v>107.02690000000001</v>
      </c>
    </row>
    <row r="185" spans="1:15" x14ac:dyDescent="0.3">
      <c r="A185" s="14" t="s">
        <v>169</v>
      </c>
      <c r="B185" s="15">
        <v>100</v>
      </c>
      <c r="C185" s="14">
        <v>7513.38</v>
      </c>
      <c r="D185" s="51">
        <v>1.6</v>
      </c>
      <c r="E185" s="51">
        <f t="shared" si="7"/>
        <v>12021.408000000001</v>
      </c>
      <c r="F185" s="16">
        <v>12050</v>
      </c>
      <c r="G185" s="23">
        <v>1.95</v>
      </c>
      <c r="H185" s="27">
        <f t="shared" si="8"/>
        <v>14651.091</v>
      </c>
      <c r="I185" s="29">
        <v>14660</v>
      </c>
      <c r="J185" s="13">
        <v>11270</v>
      </c>
      <c r="K185" s="8">
        <v>1.5</v>
      </c>
      <c r="L185" s="8">
        <f t="shared" si="9"/>
        <v>11270.07</v>
      </c>
      <c r="O185">
        <f>10881.07+3300</f>
        <v>14181.07</v>
      </c>
    </row>
    <row r="186" spans="1:15" x14ac:dyDescent="0.3">
      <c r="A186" s="82" t="s">
        <v>170</v>
      </c>
      <c r="B186" s="74"/>
      <c r="C186" s="75"/>
      <c r="D186" s="83"/>
      <c r="E186" s="83"/>
      <c r="F186" s="75"/>
      <c r="G186" s="70"/>
      <c r="H186" s="71"/>
      <c r="I186" s="72"/>
      <c r="J186" s="70"/>
      <c r="K186" s="76"/>
      <c r="L186" s="76"/>
    </row>
    <row r="187" spans="1:15" x14ac:dyDescent="0.3">
      <c r="A187" s="14" t="s">
        <v>234</v>
      </c>
      <c r="B187" s="15">
        <v>1</v>
      </c>
      <c r="C187" s="14">
        <v>107.02</v>
      </c>
      <c r="D187" s="51">
        <v>1.6</v>
      </c>
      <c r="E187" s="51">
        <f t="shared" si="7"/>
        <v>171.232</v>
      </c>
      <c r="F187" s="16"/>
      <c r="G187" s="23">
        <v>1.95</v>
      </c>
      <c r="H187" s="27">
        <f t="shared" si="8"/>
        <v>208.68899999999999</v>
      </c>
      <c r="I187" s="29"/>
      <c r="J187" s="13"/>
      <c r="K187" s="8">
        <v>1.5</v>
      </c>
      <c r="L187" s="8">
        <f t="shared" si="9"/>
        <v>160.53</v>
      </c>
    </row>
    <row r="188" spans="1:15" x14ac:dyDescent="0.3">
      <c r="A188" s="14" t="s">
        <v>171</v>
      </c>
      <c r="B188" s="15">
        <v>1</v>
      </c>
      <c r="C188" s="14">
        <v>102</v>
      </c>
      <c r="D188" s="51">
        <v>1.6</v>
      </c>
      <c r="E188" s="51">
        <f t="shared" si="7"/>
        <v>163.20000000000002</v>
      </c>
      <c r="F188" s="16">
        <v>170</v>
      </c>
      <c r="G188" s="23">
        <v>1.95</v>
      </c>
      <c r="H188" s="27">
        <f t="shared" si="8"/>
        <v>198.9</v>
      </c>
      <c r="I188" s="29">
        <v>200</v>
      </c>
      <c r="J188" s="13">
        <v>150</v>
      </c>
      <c r="K188" s="8">
        <v>1.5</v>
      </c>
      <c r="L188" s="8">
        <f t="shared" si="9"/>
        <v>153</v>
      </c>
    </row>
    <row r="189" spans="1:15" x14ac:dyDescent="0.3">
      <c r="A189" s="14" t="s">
        <v>172</v>
      </c>
      <c r="B189" s="15">
        <v>1</v>
      </c>
      <c r="C189" s="14">
        <v>135.4</v>
      </c>
      <c r="D189" s="51">
        <v>1.6</v>
      </c>
      <c r="E189" s="51">
        <f t="shared" si="7"/>
        <v>216.64000000000001</v>
      </c>
      <c r="F189" s="16">
        <v>220</v>
      </c>
      <c r="G189" s="23">
        <v>1.95</v>
      </c>
      <c r="H189" s="27">
        <f t="shared" si="8"/>
        <v>264.03000000000003</v>
      </c>
      <c r="I189" s="29">
        <v>270</v>
      </c>
      <c r="J189" s="13">
        <v>200</v>
      </c>
      <c r="K189" s="8">
        <v>1.5</v>
      </c>
      <c r="L189" s="8">
        <f t="shared" si="9"/>
        <v>203.10000000000002</v>
      </c>
    </row>
    <row r="190" spans="1:15" x14ac:dyDescent="0.3">
      <c r="A190" s="14" t="s">
        <v>174</v>
      </c>
      <c r="B190" s="15">
        <v>1</v>
      </c>
      <c r="C190" s="14">
        <v>276.48</v>
      </c>
      <c r="D190" s="51">
        <v>1.6</v>
      </c>
      <c r="E190" s="51">
        <f t="shared" si="7"/>
        <v>442.36800000000005</v>
      </c>
      <c r="F190" s="16">
        <v>450</v>
      </c>
      <c r="G190" s="23">
        <v>1.95</v>
      </c>
      <c r="H190" s="27">
        <f t="shared" si="8"/>
        <v>539.13599999999997</v>
      </c>
      <c r="I190" s="29">
        <v>540</v>
      </c>
      <c r="J190" s="13">
        <v>420</v>
      </c>
      <c r="K190" s="8">
        <v>1.5</v>
      </c>
      <c r="L190" s="8">
        <f t="shared" si="9"/>
        <v>414.72</v>
      </c>
    </row>
    <row r="191" spans="1:15" x14ac:dyDescent="0.3">
      <c r="A191" s="14" t="s">
        <v>173</v>
      </c>
      <c r="B191" s="15">
        <v>1</v>
      </c>
      <c r="C191" s="14">
        <v>365.67</v>
      </c>
      <c r="D191" s="51">
        <v>1.6</v>
      </c>
      <c r="E191" s="51">
        <f t="shared" si="7"/>
        <v>585.072</v>
      </c>
      <c r="F191" s="16">
        <v>590</v>
      </c>
      <c r="G191" s="23">
        <v>1.95</v>
      </c>
      <c r="H191" s="27">
        <f t="shared" si="8"/>
        <v>713.05650000000003</v>
      </c>
      <c r="I191" s="29">
        <v>720</v>
      </c>
      <c r="J191" s="13">
        <v>550</v>
      </c>
      <c r="K191" s="8">
        <v>1.5</v>
      </c>
      <c r="L191" s="8">
        <f t="shared" si="9"/>
        <v>548.505</v>
      </c>
    </row>
    <row r="192" spans="1:15" x14ac:dyDescent="0.3">
      <c r="A192" s="82" t="s">
        <v>175</v>
      </c>
      <c r="B192" s="74"/>
      <c r="C192" s="75"/>
      <c r="D192" s="83"/>
      <c r="E192" s="83"/>
      <c r="F192" s="75"/>
      <c r="G192" s="70"/>
      <c r="H192" s="71"/>
      <c r="I192" s="72"/>
      <c r="J192" s="70"/>
      <c r="K192" s="76"/>
      <c r="L192" s="76"/>
      <c r="N192">
        <f>2112.28/60</f>
        <v>35.204666666666668</v>
      </c>
    </row>
    <row r="193" spans="1:14" x14ac:dyDescent="0.3">
      <c r="A193" s="14" t="s">
        <v>176</v>
      </c>
      <c r="B193" s="15">
        <v>100</v>
      </c>
      <c r="C193" s="14">
        <v>2801.95</v>
      </c>
      <c r="D193" s="51">
        <v>1.6</v>
      </c>
      <c r="E193" s="51">
        <f t="shared" si="7"/>
        <v>4483.12</v>
      </c>
      <c r="F193" s="16">
        <v>4490</v>
      </c>
      <c r="G193" s="23">
        <v>1.95</v>
      </c>
      <c r="H193" s="27">
        <f t="shared" si="8"/>
        <v>5463.8024999999998</v>
      </c>
      <c r="I193" s="29">
        <v>5470</v>
      </c>
      <c r="J193" s="13">
        <v>4210</v>
      </c>
      <c r="K193" s="8">
        <v>1.5</v>
      </c>
      <c r="L193" s="8">
        <f t="shared" si="9"/>
        <v>4202.9249999999993</v>
      </c>
    </row>
    <row r="194" spans="1:14" x14ac:dyDescent="0.3">
      <c r="A194" s="14" t="s">
        <v>177</v>
      </c>
      <c r="B194" s="15">
        <v>100</v>
      </c>
      <c r="C194" s="14">
        <v>2520</v>
      </c>
      <c r="D194" s="51">
        <v>1.6</v>
      </c>
      <c r="E194" s="51">
        <f t="shared" si="7"/>
        <v>4032</v>
      </c>
      <c r="F194" s="16">
        <v>4040</v>
      </c>
      <c r="G194" s="23">
        <v>1.95</v>
      </c>
      <c r="H194" s="27">
        <f t="shared" si="8"/>
        <v>4914</v>
      </c>
      <c r="I194" s="29">
        <v>4920</v>
      </c>
      <c r="J194" s="13">
        <v>3780</v>
      </c>
      <c r="K194" s="8">
        <v>1.5</v>
      </c>
      <c r="L194" s="8">
        <f t="shared" si="9"/>
        <v>3780</v>
      </c>
      <c r="N194">
        <f>16278.7+5682.67</f>
        <v>21961.370000000003</v>
      </c>
    </row>
    <row r="195" spans="1:14" x14ac:dyDescent="0.3">
      <c r="A195" s="14" t="s">
        <v>178</v>
      </c>
      <c r="B195" s="15">
        <v>100</v>
      </c>
      <c r="C195" s="14">
        <v>3774.71</v>
      </c>
      <c r="D195" s="51">
        <v>1.6</v>
      </c>
      <c r="E195" s="51">
        <f t="shared" si="7"/>
        <v>6039.5360000000001</v>
      </c>
      <c r="F195" s="16">
        <v>6050</v>
      </c>
      <c r="G195" s="23">
        <v>1.95</v>
      </c>
      <c r="H195" s="27">
        <f t="shared" si="8"/>
        <v>7360.6845000000003</v>
      </c>
      <c r="I195" s="29">
        <v>7360</v>
      </c>
      <c r="J195" s="13">
        <v>5670</v>
      </c>
      <c r="K195" s="8">
        <v>1.5</v>
      </c>
      <c r="L195" s="8">
        <f t="shared" si="9"/>
        <v>5662.0650000000005</v>
      </c>
    </row>
    <row r="196" spans="1:14" x14ac:dyDescent="0.3">
      <c r="A196" s="14" t="s">
        <v>179</v>
      </c>
      <c r="B196" s="15">
        <v>1</v>
      </c>
      <c r="C196" s="14">
        <v>148.5</v>
      </c>
      <c r="D196" s="51">
        <v>1.6</v>
      </c>
      <c r="E196" s="51">
        <f t="shared" si="7"/>
        <v>237.60000000000002</v>
      </c>
      <c r="F196" s="16">
        <v>240</v>
      </c>
      <c r="G196" s="23">
        <v>1.95</v>
      </c>
      <c r="H196" s="27">
        <f t="shared" si="8"/>
        <v>289.57499999999999</v>
      </c>
      <c r="I196" s="29">
        <v>290</v>
      </c>
      <c r="J196" s="13">
        <v>230</v>
      </c>
      <c r="K196" s="8">
        <v>1.5</v>
      </c>
      <c r="L196" s="8">
        <f t="shared" si="9"/>
        <v>222.75</v>
      </c>
    </row>
    <row r="197" spans="1:14" x14ac:dyDescent="0.3">
      <c r="A197" s="14" t="s">
        <v>292</v>
      </c>
      <c r="B197" s="15">
        <v>100</v>
      </c>
      <c r="C197" s="14">
        <v>6154.46</v>
      </c>
      <c r="D197" s="51">
        <v>1.6</v>
      </c>
      <c r="E197" s="51">
        <f t="shared" si="7"/>
        <v>9847.1360000000004</v>
      </c>
      <c r="F197" s="16">
        <v>9850</v>
      </c>
      <c r="G197" s="23">
        <v>1.95</v>
      </c>
      <c r="H197" s="27">
        <f t="shared" si="8"/>
        <v>12001.197</v>
      </c>
      <c r="I197" s="29">
        <v>12000</v>
      </c>
      <c r="J197" s="13">
        <v>9240</v>
      </c>
      <c r="K197" s="8">
        <v>1.5</v>
      </c>
      <c r="L197" s="8">
        <f t="shared" si="9"/>
        <v>9231.69</v>
      </c>
    </row>
    <row r="198" spans="1:14" x14ac:dyDescent="0.3">
      <c r="A198" s="14" t="s">
        <v>294</v>
      </c>
      <c r="B198" s="15">
        <v>100</v>
      </c>
      <c r="C198" s="14">
        <v>2022</v>
      </c>
      <c r="D198" s="51">
        <v>1.6</v>
      </c>
      <c r="E198" s="51">
        <f t="shared" si="7"/>
        <v>3235.2000000000003</v>
      </c>
      <c r="F198" s="16"/>
      <c r="G198" s="23">
        <v>1.95</v>
      </c>
      <c r="H198" s="27">
        <f t="shared" si="8"/>
        <v>3942.9</v>
      </c>
      <c r="I198" s="29"/>
      <c r="J198" s="13"/>
      <c r="K198" s="8">
        <v>1.5</v>
      </c>
      <c r="L198" s="8">
        <f t="shared" si="9"/>
        <v>3033</v>
      </c>
    </row>
    <row r="199" spans="1:14" x14ac:dyDescent="0.3">
      <c r="A199" s="14" t="s">
        <v>293</v>
      </c>
      <c r="B199" s="15">
        <v>100</v>
      </c>
      <c r="C199" s="14">
        <v>7023.52</v>
      </c>
      <c r="D199" s="51">
        <v>1.6</v>
      </c>
      <c r="E199" s="51">
        <f t="shared" si="7"/>
        <v>11237.632000000001</v>
      </c>
      <c r="F199" s="16">
        <v>11240</v>
      </c>
      <c r="G199" s="23">
        <v>1.95</v>
      </c>
      <c r="H199" s="27">
        <f t="shared" si="8"/>
        <v>13695.864000000001</v>
      </c>
      <c r="I199" s="29">
        <v>13700</v>
      </c>
      <c r="J199" s="13">
        <v>10540</v>
      </c>
      <c r="K199" s="8">
        <v>1.5</v>
      </c>
      <c r="L199" s="8">
        <f t="shared" si="9"/>
        <v>10535.28</v>
      </c>
    </row>
    <row r="200" spans="1:14" x14ac:dyDescent="0.3">
      <c r="A200" s="14" t="s">
        <v>295</v>
      </c>
      <c r="B200" s="15">
        <v>100</v>
      </c>
      <c r="C200" s="14">
        <v>2194</v>
      </c>
      <c r="D200" s="51">
        <v>1.6</v>
      </c>
      <c r="E200" s="51">
        <f t="shared" si="7"/>
        <v>3510.4</v>
      </c>
      <c r="F200" s="16"/>
      <c r="G200" s="23">
        <v>1.95</v>
      </c>
      <c r="H200" s="27">
        <f t="shared" si="8"/>
        <v>4278.3</v>
      </c>
      <c r="I200" s="29"/>
      <c r="J200" s="13"/>
      <c r="K200" s="8">
        <v>1.5</v>
      </c>
      <c r="L200" s="8">
        <f t="shared" si="9"/>
        <v>3291</v>
      </c>
    </row>
    <row r="201" spans="1:14" x14ac:dyDescent="0.3">
      <c r="A201" s="14" t="s">
        <v>296</v>
      </c>
      <c r="B201" s="15">
        <v>100</v>
      </c>
      <c r="C201" s="14">
        <v>2194</v>
      </c>
      <c r="D201" s="51">
        <v>1.6</v>
      </c>
      <c r="E201" s="51">
        <f t="shared" si="7"/>
        <v>3510.4</v>
      </c>
      <c r="F201" s="16"/>
      <c r="G201" s="23">
        <v>1.95</v>
      </c>
      <c r="H201" s="27">
        <f t="shared" si="8"/>
        <v>4278.3</v>
      </c>
      <c r="I201" s="29"/>
      <c r="J201" s="13"/>
      <c r="K201" s="8">
        <v>1.5</v>
      </c>
      <c r="L201" s="8">
        <f t="shared" si="9"/>
        <v>3291</v>
      </c>
    </row>
    <row r="202" spans="1:14" x14ac:dyDescent="0.3">
      <c r="A202" s="14" t="s">
        <v>297</v>
      </c>
      <c r="B202" s="15">
        <v>100</v>
      </c>
      <c r="C202" s="14">
        <v>2419</v>
      </c>
      <c r="D202" s="51">
        <v>1.6</v>
      </c>
      <c r="E202" s="51">
        <f t="shared" si="7"/>
        <v>3870.4</v>
      </c>
      <c r="F202" s="16"/>
      <c r="G202" s="23">
        <v>1.95</v>
      </c>
      <c r="H202" s="27">
        <f t="shared" si="8"/>
        <v>4717.05</v>
      </c>
      <c r="I202" s="29"/>
      <c r="J202" s="13"/>
      <c r="K202" s="8">
        <v>1.5</v>
      </c>
      <c r="L202" s="8">
        <f t="shared" si="9"/>
        <v>3628.5</v>
      </c>
    </row>
    <row r="203" spans="1:14" x14ac:dyDescent="0.3">
      <c r="A203" s="8" t="s">
        <v>300</v>
      </c>
      <c r="B203" s="15">
        <v>1</v>
      </c>
      <c r="C203" s="14">
        <v>98.68</v>
      </c>
      <c r="D203" s="51">
        <v>1.6</v>
      </c>
      <c r="E203" s="51">
        <f t="shared" si="7"/>
        <v>157.88800000000003</v>
      </c>
      <c r="F203" s="16">
        <v>160</v>
      </c>
      <c r="G203" s="23">
        <v>1.95</v>
      </c>
      <c r="H203" s="27">
        <f t="shared" si="8"/>
        <v>192.42600000000002</v>
      </c>
      <c r="I203" s="29">
        <v>200</v>
      </c>
      <c r="J203" s="13">
        <v>150</v>
      </c>
      <c r="K203" s="8">
        <v>1.5</v>
      </c>
      <c r="L203" s="8">
        <f t="shared" si="9"/>
        <v>148.02000000000001</v>
      </c>
    </row>
    <row r="204" spans="1:14" x14ac:dyDescent="0.3">
      <c r="A204" s="8" t="s">
        <v>301</v>
      </c>
      <c r="B204" s="15">
        <v>1</v>
      </c>
      <c r="C204" s="14">
        <v>100.15</v>
      </c>
      <c r="D204" s="51">
        <v>1.6</v>
      </c>
      <c r="E204" s="51">
        <f t="shared" si="7"/>
        <v>160.24</v>
      </c>
      <c r="F204" s="16">
        <v>160</v>
      </c>
      <c r="G204" s="23">
        <v>1.95</v>
      </c>
      <c r="H204" s="27">
        <f t="shared" si="8"/>
        <v>195.29250000000002</v>
      </c>
      <c r="I204" s="29">
        <v>200</v>
      </c>
      <c r="J204" s="13">
        <v>150</v>
      </c>
      <c r="K204" s="8">
        <v>1.5</v>
      </c>
      <c r="L204" s="8">
        <f t="shared" si="9"/>
        <v>150.22500000000002</v>
      </c>
    </row>
    <row r="205" spans="1:14" x14ac:dyDescent="0.3">
      <c r="A205" s="8" t="s">
        <v>298</v>
      </c>
      <c r="B205" s="15">
        <v>1</v>
      </c>
      <c r="C205" s="14">
        <v>77.47</v>
      </c>
      <c r="D205" s="51">
        <v>1.6</v>
      </c>
      <c r="E205" s="51">
        <f t="shared" si="7"/>
        <v>123.952</v>
      </c>
      <c r="F205" s="16">
        <v>130</v>
      </c>
      <c r="G205" s="23">
        <v>1.95</v>
      </c>
      <c r="H205" s="27">
        <f t="shared" si="8"/>
        <v>151.06649999999999</v>
      </c>
      <c r="I205" s="29">
        <v>160</v>
      </c>
      <c r="J205" s="13">
        <v>120</v>
      </c>
      <c r="K205" s="8">
        <v>1.5</v>
      </c>
      <c r="L205" s="8">
        <f t="shared" si="9"/>
        <v>116.205</v>
      </c>
    </row>
    <row r="206" spans="1:14" x14ac:dyDescent="0.3">
      <c r="A206" s="8" t="s">
        <v>299</v>
      </c>
      <c r="B206" s="15">
        <v>1</v>
      </c>
      <c r="C206" s="14">
        <v>30.23</v>
      </c>
      <c r="D206" s="51">
        <v>1.6</v>
      </c>
      <c r="E206" s="51">
        <f t="shared" si="7"/>
        <v>48.368000000000002</v>
      </c>
      <c r="F206" s="16"/>
      <c r="G206" s="23">
        <v>1.95</v>
      </c>
      <c r="H206" s="27">
        <f t="shared" si="8"/>
        <v>58.948500000000003</v>
      </c>
      <c r="I206" s="29"/>
      <c r="J206" s="13"/>
      <c r="K206" s="8">
        <v>1.5</v>
      </c>
      <c r="L206" s="8">
        <f t="shared" si="9"/>
        <v>45.344999999999999</v>
      </c>
    </row>
    <row r="207" spans="1:14" x14ac:dyDescent="0.3">
      <c r="A207" s="8" t="s">
        <v>302</v>
      </c>
      <c r="B207" s="15">
        <v>1</v>
      </c>
      <c r="C207" s="14">
        <v>67.83</v>
      </c>
      <c r="D207" s="51">
        <v>1.6</v>
      </c>
      <c r="E207" s="51">
        <f t="shared" si="7"/>
        <v>108.52800000000001</v>
      </c>
      <c r="F207" s="16"/>
      <c r="G207" s="23">
        <v>1.95</v>
      </c>
      <c r="H207" s="27">
        <f t="shared" si="8"/>
        <v>132.26849999999999</v>
      </c>
      <c r="I207" s="29"/>
      <c r="J207" s="13"/>
      <c r="K207" s="8">
        <v>1.5</v>
      </c>
      <c r="L207" s="8">
        <f t="shared" si="9"/>
        <v>101.745</v>
      </c>
    </row>
    <row r="208" spans="1:14" x14ac:dyDescent="0.3">
      <c r="A208" s="14" t="s">
        <v>365</v>
      </c>
      <c r="B208" s="15">
        <v>1</v>
      </c>
      <c r="C208" s="14">
        <v>115.45</v>
      </c>
      <c r="D208" s="51">
        <v>1.6</v>
      </c>
      <c r="E208" s="51">
        <f t="shared" si="7"/>
        <v>184.72000000000003</v>
      </c>
      <c r="F208" s="16">
        <v>190</v>
      </c>
      <c r="G208" s="23">
        <v>1.95</v>
      </c>
      <c r="H208" s="27">
        <f t="shared" si="8"/>
        <v>225.1275</v>
      </c>
      <c r="I208" s="29">
        <v>230</v>
      </c>
      <c r="J208" s="13">
        <v>180</v>
      </c>
      <c r="K208" s="8">
        <v>1.5</v>
      </c>
      <c r="L208" s="8">
        <f t="shared" si="9"/>
        <v>173.17500000000001</v>
      </c>
    </row>
    <row r="209" spans="1:12" x14ac:dyDescent="0.3">
      <c r="A209" s="14" t="s">
        <v>262</v>
      </c>
      <c r="B209" s="15">
        <v>100</v>
      </c>
      <c r="C209" s="14">
        <v>48482.12</v>
      </c>
      <c r="D209" s="51">
        <v>1.6</v>
      </c>
      <c r="E209" s="51">
        <f t="shared" si="7"/>
        <v>77571.392000000007</v>
      </c>
      <c r="F209" s="16"/>
      <c r="G209" s="23">
        <v>1.95</v>
      </c>
      <c r="H209" s="27">
        <f t="shared" si="8"/>
        <v>94540.134000000005</v>
      </c>
      <c r="I209" s="29"/>
      <c r="J209" s="13"/>
      <c r="K209" s="8">
        <v>1.5</v>
      </c>
      <c r="L209" s="8">
        <f t="shared" si="9"/>
        <v>72723.180000000008</v>
      </c>
    </row>
    <row r="210" spans="1:12" x14ac:dyDescent="0.3">
      <c r="A210" s="82" t="s">
        <v>184</v>
      </c>
      <c r="B210" s="74"/>
      <c r="C210" s="75"/>
      <c r="D210" s="83"/>
      <c r="E210" s="83"/>
      <c r="F210" s="75"/>
      <c r="G210" s="70"/>
      <c r="H210" s="71"/>
      <c r="I210" s="72"/>
      <c r="J210" s="70"/>
      <c r="K210" s="76"/>
      <c r="L210" s="76"/>
    </row>
    <row r="211" spans="1:12" x14ac:dyDescent="0.3">
      <c r="A211" s="14" t="s">
        <v>185</v>
      </c>
      <c r="B211" s="15">
        <v>1</v>
      </c>
      <c r="C211" s="14">
        <v>6940.63</v>
      </c>
      <c r="D211" s="51">
        <v>1.6</v>
      </c>
      <c r="E211" s="51">
        <f t="shared" si="7"/>
        <v>11105.008000000002</v>
      </c>
      <c r="F211" s="16">
        <v>11110</v>
      </c>
      <c r="G211" s="23">
        <v>1.95</v>
      </c>
      <c r="H211" s="27">
        <f t="shared" si="8"/>
        <v>13534.228499999999</v>
      </c>
      <c r="I211" s="29">
        <v>13540</v>
      </c>
      <c r="J211" s="13">
        <v>10420</v>
      </c>
      <c r="K211" s="8">
        <v>1.5</v>
      </c>
      <c r="L211" s="8">
        <f t="shared" si="9"/>
        <v>10410.945</v>
      </c>
    </row>
    <row r="212" spans="1:12" x14ac:dyDescent="0.3">
      <c r="A212" s="14" t="s">
        <v>370</v>
      </c>
      <c r="B212" s="15">
        <v>1</v>
      </c>
      <c r="C212" s="14">
        <v>4722.4799999999996</v>
      </c>
      <c r="D212" s="51">
        <v>1.6</v>
      </c>
      <c r="E212" s="51">
        <f t="shared" si="7"/>
        <v>7555.9679999999998</v>
      </c>
      <c r="F212" s="16">
        <v>7560</v>
      </c>
      <c r="G212" s="23">
        <v>1.95</v>
      </c>
      <c r="H212" s="27">
        <f t="shared" si="8"/>
        <v>9208.8359999999993</v>
      </c>
      <c r="I212" s="29">
        <v>9200</v>
      </c>
      <c r="J212" s="13">
        <v>7100</v>
      </c>
      <c r="K212" s="8">
        <v>1.5</v>
      </c>
      <c r="L212" s="8">
        <f t="shared" si="9"/>
        <v>7083.7199999999993</v>
      </c>
    </row>
    <row r="213" spans="1:12" x14ac:dyDescent="0.3">
      <c r="A213" s="14" t="s">
        <v>186</v>
      </c>
      <c r="B213" s="15">
        <v>1</v>
      </c>
      <c r="C213" s="14">
        <v>5681.55</v>
      </c>
      <c r="D213" s="51">
        <v>1.6</v>
      </c>
      <c r="E213" s="51">
        <f t="shared" si="7"/>
        <v>9090.4800000000014</v>
      </c>
      <c r="F213" s="16">
        <v>9100</v>
      </c>
      <c r="G213" s="23">
        <v>1.95</v>
      </c>
      <c r="H213" s="27">
        <f t="shared" si="8"/>
        <v>11079.022500000001</v>
      </c>
      <c r="I213" s="29">
        <v>11080</v>
      </c>
      <c r="J213" s="13">
        <v>8530</v>
      </c>
      <c r="K213" s="8">
        <v>1.5</v>
      </c>
      <c r="L213" s="8">
        <f t="shared" si="9"/>
        <v>8522.3250000000007</v>
      </c>
    </row>
    <row r="214" spans="1:12" x14ac:dyDescent="0.3">
      <c r="A214" s="14" t="s">
        <v>371</v>
      </c>
      <c r="B214" s="15">
        <v>1</v>
      </c>
      <c r="C214" s="14">
        <v>4170.78</v>
      </c>
      <c r="D214" s="51">
        <v>1.6</v>
      </c>
      <c r="E214" s="51">
        <f t="shared" si="7"/>
        <v>6673.2479999999996</v>
      </c>
      <c r="F214" s="16">
        <v>6680</v>
      </c>
      <c r="G214" s="23">
        <v>1.95</v>
      </c>
      <c r="H214" s="27">
        <f t="shared" si="8"/>
        <v>8133.0209999999997</v>
      </c>
      <c r="I214" s="29">
        <v>8140</v>
      </c>
      <c r="J214" s="13">
        <v>6260</v>
      </c>
      <c r="K214" s="8">
        <v>1.5</v>
      </c>
      <c r="L214" s="8">
        <f t="shared" si="9"/>
        <v>6256.17</v>
      </c>
    </row>
    <row r="215" spans="1:12" x14ac:dyDescent="0.3">
      <c r="A215" s="82" t="s">
        <v>253</v>
      </c>
      <c r="B215" s="74"/>
      <c r="C215" s="75"/>
      <c r="D215" s="83"/>
      <c r="E215" s="83"/>
      <c r="F215" s="75"/>
      <c r="G215" s="70"/>
      <c r="H215" s="71"/>
      <c r="I215" s="72"/>
      <c r="J215" s="70"/>
      <c r="K215" s="76"/>
      <c r="L215" s="76"/>
    </row>
    <row r="216" spans="1:12" x14ac:dyDescent="0.3">
      <c r="A216" s="14" t="s">
        <v>188</v>
      </c>
      <c r="B216" s="15">
        <v>1</v>
      </c>
      <c r="C216" s="51">
        <v>1637.5</v>
      </c>
      <c r="D216" s="51">
        <v>1.6</v>
      </c>
      <c r="E216" s="51">
        <f t="shared" si="7"/>
        <v>2620</v>
      </c>
      <c r="F216" s="16">
        <v>2650</v>
      </c>
      <c r="G216" s="23">
        <v>1.95</v>
      </c>
      <c r="H216" s="27">
        <f t="shared" si="8"/>
        <v>3193.125</v>
      </c>
      <c r="I216" s="29">
        <v>3200</v>
      </c>
      <c r="J216" s="13">
        <v>2460</v>
      </c>
      <c r="K216" s="8">
        <v>1.5</v>
      </c>
      <c r="L216" s="8">
        <f t="shared" si="9"/>
        <v>2456.25</v>
      </c>
    </row>
    <row r="217" spans="1:12" x14ac:dyDescent="0.3">
      <c r="A217" s="14" t="s">
        <v>244</v>
      </c>
      <c r="B217" s="15">
        <v>10</v>
      </c>
      <c r="C217" s="51">
        <v>3562.55</v>
      </c>
      <c r="D217" s="51">
        <v>1.6</v>
      </c>
      <c r="E217" s="51">
        <f t="shared" si="7"/>
        <v>5700.0800000000008</v>
      </c>
      <c r="F217" s="16"/>
      <c r="G217" s="23">
        <v>1.95</v>
      </c>
      <c r="H217" s="27">
        <f t="shared" si="8"/>
        <v>6946.9724999999999</v>
      </c>
      <c r="I217" s="29"/>
      <c r="J217" s="13"/>
      <c r="K217" s="8">
        <v>1.5</v>
      </c>
      <c r="L217" s="8">
        <f t="shared" si="9"/>
        <v>5343.8250000000007</v>
      </c>
    </row>
    <row r="218" spans="1:12" x14ac:dyDescent="0.3">
      <c r="A218" s="14" t="s">
        <v>245</v>
      </c>
      <c r="B218" s="15">
        <v>1</v>
      </c>
      <c r="C218" s="51">
        <v>1802.43</v>
      </c>
      <c r="D218" s="51">
        <v>1.6</v>
      </c>
      <c r="E218" s="51">
        <f t="shared" si="7"/>
        <v>2883.8880000000004</v>
      </c>
      <c r="F218" s="16"/>
      <c r="G218" s="23">
        <v>1.95</v>
      </c>
      <c r="H218" s="27">
        <f t="shared" si="8"/>
        <v>3514.7384999999999</v>
      </c>
      <c r="I218" s="29"/>
      <c r="J218" s="13"/>
      <c r="K218" s="8">
        <v>1.5</v>
      </c>
      <c r="L218" s="8">
        <f t="shared" si="9"/>
        <v>2703.645</v>
      </c>
    </row>
    <row r="219" spans="1:12" x14ac:dyDescent="0.3">
      <c r="A219" s="14" t="s">
        <v>189</v>
      </c>
      <c r="B219" s="15">
        <v>1</v>
      </c>
      <c r="C219" s="14">
        <v>4037.03</v>
      </c>
      <c r="D219" s="51">
        <v>1.6</v>
      </c>
      <c r="E219" s="51">
        <f t="shared" si="7"/>
        <v>6459.2480000000005</v>
      </c>
      <c r="F219" s="16"/>
      <c r="G219" s="23">
        <v>1.95</v>
      </c>
      <c r="H219" s="27">
        <f t="shared" si="8"/>
        <v>7872.2085000000006</v>
      </c>
      <c r="I219" s="29"/>
      <c r="J219" s="13"/>
      <c r="K219" s="8">
        <v>1.5</v>
      </c>
      <c r="L219" s="8">
        <f t="shared" si="9"/>
        <v>6055.5450000000001</v>
      </c>
    </row>
    <row r="220" spans="1:12" x14ac:dyDescent="0.3">
      <c r="A220" s="14" t="s">
        <v>190</v>
      </c>
      <c r="B220" s="15">
        <v>100</v>
      </c>
      <c r="C220" s="14">
        <v>733.6</v>
      </c>
      <c r="D220" s="51">
        <v>1.6</v>
      </c>
      <c r="E220" s="51">
        <f t="shared" si="7"/>
        <v>1173.76</v>
      </c>
      <c r="F220" s="16">
        <v>1180</v>
      </c>
      <c r="G220" s="23">
        <v>1.95</v>
      </c>
      <c r="H220" s="27">
        <f t="shared" si="8"/>
        <v>1430.52</v>
      </c>
      <c r="I220" s="29">
        <v>1430</v>
      </c>
      <c r="J220" s="13">
        <v>1100</v>
      </c>
      <c r="K220" s="8">
        <v>1.5</v>
      </c>
      <c r="L220" s="8">
        <f t="shared" si="9"/>
        <v>1100.4000000000001</v>
      </c>
    </row>
    <row r="221" spans="1:12" x14ac:dyDescent="0.3">
      <c r="A221" s="14" t="s">
        <v>339</v>
      </c>
      <c r="B221" s="15">
        <v>1</v>
      </c>
      <c r="C221" s="14">
        <v>1177.5899999999999</v>
      </c>
      <c r="D221" s="51">
        <v>1.6</v>
      </c>
      <c r="E221" s="51">
        <f t="shared" si="7"/>
        <v>1884.144</v>
      </c>
      <c r="F221" s="16">
        <v>1900</v>
      </c>
      <c r="G221" s="23">
        <v>1.95</v>
      </c>
      <c r="H221" s="27">
        <f t="shared" si="8"/>
        <v>2296.3004999999998</v>
      </c>
      <c r="I221" s="30">
        <v>2300</v>
      </c>
      <c r="J221" s="13">
        <v>1770</v>
      </c>
      <c r="K221" s="8">
        <v>1.5</v>
      </c>
      <c r="L221" s="8">
        <f t="shared" si="9"/>
        <v>1766.3849999999998</v>
      </c>
    </row>
    <row r="222" spans="1:12" x14ac:dyDescent="0.3">
      <c r="A222" s="14" t="s">
        <v>344</v>
      </c>
      <c r="B222" s="15">
        <v>1</v>
      </c>
      <c r="C222" s="14">
        <v>1002.73</v>
      </c>
      <c r="D222" s="51">
        <v>1.6</v>
      </c>
      <c r="E222" s="51">
        <f t="shared" si="7"/>
        <v>1604.3680000000002</v>
      </c>
      <c r="F222" s="16">
        <v>1600</v>
      </c>
      <c r="G222" s="23">
        <v>1.95</v>
      </c>
      <c r="H222" s="27">
        <f t="shared" si="8"/>
        <v>1955.3235</v>
      </c>
      <c r="I222" s="30">
        <v>1960</v>
      </c>
      <c r="J222" s="13">
        <v>1510</v>
      </c>
      <c r="K222" s="8">
        <v>1.5</v>
      </c>
      <c r="L222" s="8">
        <f t="shared" si="9"/>
        <v>1504.095</v>
      </c>
    </row>
    <row r="223" spans="1:12" x14ac:dyDescent="0.3">
      <c r="A223" s="14" t="s">
        <v>193</v>
      </c>
      <c r="B223" s="15">
        <v>100</v>
      </c>
      <c r="C223" s="14">
        <v>910</v>
      </c>
      <c r="D223" s="51">
        <v>1.6</v>
      </c>
      <c r="E223" s="51">
        <f t="shared" si="7"/>
        <v>1456</v>
      </c>
      <c r="F223" s="16">
        <v>1500</v>
      </c>
      <c r="G223" s="23">
        <v>1.95</v>
      </c>
      <c r="H223" s="27">
        <f t="shared" si="8"/>
        <v>1774.5</v>
      </c>
      <c r="I223" s="29">
        <v>1780</v>
      </c>
      <c r="J223" s="13">
        <v>1400</v>
      </c>
      <c r="K223" s="8">
        <v>1.5</v>
      </c>
      <c r="L223" s="8">
        <f t="shared" si="9"/>
        <v>1365</v>
      </c>
    </row>
    <row r="224" spans="1:12" x14ac:dyDescent="0.3">
      <c r="A224" s="14" t="s">
        <v>194</v>
      </c>
      <c r="B224" s="15">
        <v>1</v>
      </c>
      <c r="C224" s="14">
        <v>9015.98</v>
      </c>
      <c r="D224" s="51">
        <v>1.6</v>
      </c>
      <c r="E224" s="51">
        <f t="shared" si="7"/>
        <v>14425.567999999999</v>
      </c>
      <c r="F224" s="16">
        <v>14430</v>
      </c>
      <c r="G224" s="23">
        <v>1.95</v>
      </c>
      <c r="H224" s="27">
        <f t="shared" si="8"/>
        <v>17581.161</v>
      </c>
      <c r="I224" s="29">
        <v>17600</v>
      </c>
      <c r="J224" s="13">
        <v>13530</v>
      </c>
      <c r="K224" s="8">
        <v>1.5</v>
      </c>
      <c r="L224" s="8">
        <f t="shared" si="9"/>
        <v>13523.97</v>
      </c>
    </row>
    <row r="225" spans="1:14" x14ac:dyDescent="0.3">
      <c r="A225" s="14" t="s">
        <v>195</v>
      </c>
      <c r="B225" s="15">
        <v>1</v>
      </c>
      <c r="C225" s="14">
        <v>3931.97</v>
      </c>
      <c r="D225" s="51">
        <v>1.6</v>
      </c>
      <c r="E225" s="51">
        <f t="shared" si="7"/>
        <v>6291.152</v>
      </c>
      <c r="F225" s="16"/>
      <c r="G225" s="23">
        <v>1.95</v>
      </c>
      <c r="H225" s="27">
        <f t="shared" si="8"/>
        <v>7667.3414999999995</v>
      </c>
      <c r="I225" s="29"/>
      <c r="J225" s="13"/>
      <c r="K225" s="8">
        <v>1.5</v>
      </c>
      <c r="L225" s="8">
        <f t="shared" si="9"/>
        <v>5897.9549999999999</v>
      </c>
    </row>
    <row r="226" spans="1:14" x14ac:dyDescent="0.3">
      <c r="A226" s="14" t="s">
        <v>196</v>
      </c>
      <c r="B226" s="15">
        <v>1</v>
      </c>
      <c r="C226" s="14">
        <v>853.99</v>
      </c>
      <c r="D226" s="51">
        <v>1.6</v>
      </c>
      <c r="E226" s="51">
        <f t="shared" si="7"/>
        <v>1366.384</v>
      </c>
      <c r="F226" s="16"/>
      <c r="G226" s="23">
        <v>1.95</v>
      </c>
      <c r="H226" s="27">
        <f t="shared" si="8"/>
        <v>1665.2805000000001</v>
      </c>
      <c r="I226" s="29"/>
      <c r="J226" s="13"/>
      <c r="K226" s="8">
        <v>1.5</v>
      </c>
      <c r="L226" s="8">
        <f t="shared" si="9"/>
        <v>1280.9850000000001</v>
      </c>
    </row>
    <row r="227" spans="1:14" x14ac:dyDescent="0.3">
      <c r="A227" s="14" t="s">
        <v>197</v>
      </c>
      <c r="B227" s="15">
        <v>1</v>
      </c>
      <c r="C227" s="14">
        <v>876.27</v>
      </c>
      <c r="D227" s="51">
        <v>1.6</v>
      </c>
      <c r="E227" s="51">
        <f t="shared" si="7"/>
        <v>1402.0320000000002</v>
      </c>
      <c r="F227" s="16">
        <v>1500</v>
      </c>
      <c r="G227" s="23">
        <v>1.95</v>
      </c>
      <c r="H227" s="27">
        <f t="shared" si="8"/>
        <v>1708.7265</v>
      </c>
      <c r="I227" s="29">
        <v>1700</v>
      </c>
      <c r="J227" s="13">
        <v>1350</v>
      </c>
      <c r="K227" s="8">
        <v>1.5</v>
      </c>
      <c r="L227" s="8">
        <f t="shared" si="9"/>
        <v>1314.405</v>
      </c>
    </row>
    <row r="228" spans="1:14" x14ac:dyDescent="0.3">
      <c r="A228" s="14" t="s">
        <v>198</v>
      </c>
      <c r="B228" s="15">
        <v>1</v>
      </c>
      <c r="C228" s="14">
        <v>1929.25</v>
      </c>
      <c r="D228" s="51">
        <v>1.6</v>
      </c>
      <c r="E228" s="51">
        <f t="shared" si="7"/>
        <v>3086.8</v>
      </c>
      <c r="F228" s="16">
        <v>3090</v>
      </c>
      <c r="G228" s="23">
        <v>1.95</v>
      </c>
      <c r="H228" s="27">
        <f t="shared" si="8"/>
        <v>3762.0374999999999</v>
      </c>
      <c r="I228" s="29">
        <v>3770</v>
      </c>
      <c r="J228" s="13">
        <v>2900</v>
      </c>
      <c r="K228" s="8">
        <v>1.5</v>
      </c>
      <c r="L228" s="8">
        <f t="shared" si="9"/>
        <v>2893.875</v>
      </c>
    </row>
    <row r="229" spans="1:14" x14ac:dyDescent="0.3">
      <c r="A229" s="14" t="s">
        <v>199</v>
      </c>
      <c r="B229" s="15" t="s">
        <v>141</v>
      </c>
      <c r="C229" s="14">
        <v>2529.6</v>
      </c>
      <c r="D229" s="51">
        <v>1.6</v>
      </c>
      <c r="E229" s="51">
        <f t="shared" si="7"/>
        <v>4047.36</v>
      </c>
      <c r="F229" s="16">
        <v>4050</v>
      </c>
      <c r="G229" s="23">
        <v>1.95</v>
      </c>
      <c r="H229" s="27">
        <f t="shared" si="8"/>
        <v>4932.7199999999993</v>
      </c>
      <c r="I229" s="29">
        <v>4940</v>
      </c>
      <c r="J229" s="13">
        <v>3800</v>
      </c>
      <c r="K229" s="8">
        <v>1.5</v>
      </c>
      <c r="L229" s="8">
        <f t="shared" si="9"/>
        <v>3794.3999999999996</v>
      </c>
    </row>
    <row r="230" spans="1:14" x14ac:dyDescent="0.3">
      <c r="A230" s="14" t="s">
        <v>6</v>
      </c>
      <c r="B230" s="15">
        <v>1</v>
      </c>
      <c r="C230" s="14">
        <v>1006.77</v>
      </c>
      <c r="D230" s="51">
        <v>1.6</v>
      </c>
      <c r="E230" s="51">
        <f t="shared" si="7"/>
        <v>1610.8320000000001</v>
      </c>
      <c r="F230" s="16">
        <v>1600</v>
      </c>
      <c r="G230" s="23">
        <v>1.95</v>
      </c>
      <c r="H230" s="27">
        <f t="shared" si="8"/>
        <v>1963.2014999999999</v>
      </c>
      <c r="I230" s="29">
        <v>1970</v>
      </c>
      <c r="J230" s="13">
        <v>1510</v>
      </c>
      <c r="K230" s="8">
        <v>1.5</v>
      </c>
      <c r="L230" s="8">
        <f t="shared" si="9"/>
        <v>1510.155</v>
      </c>
    </row>
    <row r="231" spans="1:14" x14ac:dyDescent="0.3">
      <c r="A231" s="14" t="s">
        <v>200</v>
      </c>
      <c r="B231" s="15">
        <v>1</v>
      </c>
      <c r="C231" s="14">
        <v>490</v>
      </c>
      <c r="D231" s="51">
        <v>1.6</v>
      </c>
      <c r="E231" s="51">
        <f t="shared" si="7"/>
        <v>784</v>
      </c>
      <c r="F231" s="16"/>
      <c r="G231" s="23">
        <v>1.95</v>
      </c>
      <c r="H231" s="27">
        <f t="shared" si="8"/>
        <v>955.5</v>
      </c>
      <c r="I231" s="29"/>
      <c r="J231" s="13"/>
      <c r="K231" s="8">
        <v>1.5</v>
      </c>
      <c r="L231" s="8">
        <f t="shared" si="9"/>
        <v>735</v>
      </c>
    </row>
    <row r="232" spans="1:14" x14ac:dyDescent="0.3">
      <c r="A232" s="14" t="s">
        <v>201</v>
      </c>
      <c r="B232" s="15">
        <v>1</v>
      </c>
      <c r="C232" s="14">
        <v>1000</v>
      </c>
      <c r="D232" s="51">
        <v>1.6</v>
      </c>
      <c r="E232" s="51">
        <f t="shared" si="7"/>
        <v>1600</v>
      </c>
      <c r="F232" s="16"/>
      <c r="G232" s="23">
        <v>1.95</v>
      </c>
      <c r="H232" s="27">
        <f t="shared" si="8"/>
        <v>1950</v>
      </c>
      <c r="I232" s="29"/>
      <c r="J232" s="13"/>
      <c r="K232" s="8">
        <v>1.5</v>
      </c>
      <c r="L232" s="8">
        <f t="shared" si="9"/>
        <v>1500</v>
      </c>
    </row>
    <row r="233" spans="1:14" x14ac:dyDescent="0.3">
      <c r="A233" s="14" t="s">
        <v>202</v>
      </c>
      <c r="B233" s="15">
        <v>1</v>
      </c>
      <c r="C233" s="14">
        <v>1205</v>
      </c>
      <c r="D233" s="51">
        <v>1.6</v>
      </c>
      <c r="E233" s="51">
        <f t="shared" si="7"/>
        <v>1928</v>
      </c>
      <c r="F233" s="16"/>
      <c r="G233" s="23">
        <v>1.95</v>
      </c>
      <c r="H233" s="27">
        <f t="shared" si="8"/>
        <v>2349.75</v>
      </c>
      <c r="I233" s="29"/>
      <c r="J233" s="13"/>
      <c r="K233" s="8">
        <v>1.5</v>
      </c>
      <c r="L233" s="8">
        <f t="shared" si="9"/>
        <v>1807.5</v>
      </c>
      <c r="N233">
        <f>497.97+97.05</f>
        <v>595.02</v>
      </c>
    </row>
    <row r="234" spans="1:14" x14ac:dyDescent="0.3">
      <c r="A234" s="14" t="s">
        <v>284</v>
      </c>
      <c r="B234" s="15">
        <v>1</v>
      </c>
      <c r="C234" s="14">
        <v>522.87</v>
      </c>
      <c r="D234" s="51">
        <v>1.6</v>
      </c>
      <c r="E234" s="51">
        <f t="shared" si="7"/>
        <v>836.5920000000001</v>
      </c>
      <c r="F234" s="16"/>
      <c r="G234" s="23">
        <v>1.95</v>
      </c>
      <c r="H234" s="27">
        <f t="shared" si="8"/>
        <v>1019.5965</v>
      </c>
      <c r="I234" s="29"/>
      <c r="J234" s="13"/>
      <c r="K234" s="8">
        <v>1.5</v>
      </c>
      <c r="L234" s="8">
        <f t="shared" si="9"/>
        <v>784.30500000000006</v>
      </c>
    </row>
    <row r="235" spans="1:14" x14ac:dyDescent="0.3">
      <c r="A235" s="14" t="s">
        <v>269</v>
      </c>
      <c r="B235" s="15">
        <v>1</v>
      </c>
      <c r="C235" s="15">
        <v>634.44000000000005</v>
      </c>
      <c r="D235" s="51">
        <v>1.6</v>
      </c>
      <c r="E235" s="51">
        <f>C235*D235</f>
        <v>1015.1040000000002</v>
      </c>
      <c r="F235" s="16"/>
      <c r="G235" s="23">
        <v>1.95</v>
      </c>
      <c r="H235" s="27">
        <f>C235*G235</f>
        <v>1237.1580000000001</v>
      </c>
      <c r="I235" s="29"/>
      <c r="J235" s="13"/>
      <c r="K235" s="8">
        <v>1.5</v>
      </c>
      <c r="L235" s="8">
        <f>C235*K235</f>
        <v>951.66000000000008</v>
      </c>
    </row>
    <row r="236" spans="1:14" x14ac:dyDescent="0.3">
      <c r="A236" s="14" t="s">
        <v>270</v>
      </c>
      <c r="B236" s="15">
        <v>1</v>
      </c>
      <c r="C236" s="14">
        <v>110.57</v>
      </c>
      <c r="D236" s="51">
        <v>1.6</v>
      </c>
      <c r="E236" s="51">
        <f>C236*D236</f>
        <v>176.91200000000001</v>
      </c>
      <c r="F236" s="16"/>
      <c r="G236" s="23">
        <v>1.95</v>
      </c>
      <c r="H236" s="27">
        <f>C236*G236</f>
        <v>215.61149999999998</v>
      </c>
      <c r="I236" s="29"/>
      <c r="J236" s="13"/>
      <c r="K236" s="8">
        <v>1.5</v>
      </c>
      <c r="L236" s="8">
        <f>C236*K236</f>
        <v>165.85499999999999</v>
      </c>
    </row>
    <row r="237" spans="1:14" x14ac:dyDescent="0.3">
      <c r="A237" s="82" t="s">
        <v>204</v>
      </c>
      <c r="B237" s="74"/>
      <c r="C237" s="75"/>
      <c r="D237" s="83"/>
      <c r="E237" s="83"/>
      <c r="F237" s="75"/>
      <c r="G237" s="70"/>
      <c r="H237" s="71"/>
      <c r="I237" s="72"/>
      <c r="J237" s="70"/>
      <c r="K237" s="76"/>
      <c r="L237" s="76"/>
    </row>
    <row r="238" spans="1:14" x14ac:dyDescent="0.3">
      <c r="A238" s="14" t="s">
        <v>205</v>
      </c>
      <c r="B238" s="15">
        <v>1</v>
      </c>
      <c r="C238" s="14">
        <v>622.62</v>
      </c>
      <c r="D238" s="51">
        <v>1.6</v>
      </c>
      <c r="E238" s="51">
        <f t="shared" si="7"/>
        <v>996.19200000000001</v>
      </c>
      <c r="F238" s="16">
        <v>1000</v>
      </c>
      <c r="G238" s="23">
        <v>1.95</v>
      </c>
      <c r="H238" s="27">
        <f t="shared" si="8"/>
        <v>1214.1089999999999</v>
      </c>
      <c r="I238" s="29">
        <v>1220</v>
      </c>
      <c r="J238" s="13">
        <v>940</v>
      </c>
      <c r="K238" s="8">
        <v>1.5</v>
      </c>
      <c r="L238" s="8">
        <f t="shared" si="9"/>
        <v>933.93000000000006</v>
      </c>
    </row>
    <row r="239" spans="1:14" x14ac:dyDescent="0.3">
      <c r="A239" s="14" t="s">
        <v>206</v>
      </c>
      <c r="B239" s="15">
        <v>1</v>
      </c>
      <c r="C239" s="14">
        <v>610.36</v>
      </c>
      <c r="D239" s="51">
        <v>1.6</v>
      </c>
      <c r="E239" s="51">
        <f t="shared" si="7"/>
        <v>976.57600000000002</v>
      </c>
      <c r="F239" s="16">
        <v>980</v>
      </c>
      <c r="G239" s="23">
        <v>1.95</v>
      </c>
      <c r="H239" s="27">
        <f t="shared" si="8"/>
        <v>1190.202</v>
      </c>
      <c r="I239" s="29">
        <v>1190</v>
      </c>
      <c r="J239" s="13">
        <v>920</v>
      </c>
      <c r="K239" s="8">
        <v>1.5</v>
      </c>
      <c r="L239" s="8">
        <f t="shared" si="9"/>
        <v>915.54</v>
      </c>
    </row>
    <row r="240" spans="1:14" x14ac:dyDescent="0.3">
      <c r="A240" s="14" t="s">
        <v>207</v>
      </c>
      <c r="B240" s="15">
        <v>1</v>
      </c>
      <c r="C240" s="14">
        <v>7423.46</v>
      </c>
      <c r="D240" s="51">
        <v>1.6</v>
      </c>
      <c r="E240" s="51">
        <f t="shared" si="7"/>
        <v>11877.536</v>
      </c>
      <c r="F240" s="16">
        <v>11880</v>
      </c>
      <c r="G240" s="23">
        <v>1.95</v>
      </c>
      <c r="H240" s="27">
        <f t="shared" si="8"/>
        <v>14475.746999999999</v>
      </c>
      <c r="I240" s="29">
        <v>14480</v>
      </c>
      <c r="J240" s="13">
        <v>11140</v>
      </c>
      <c r="K240" s="8">
        <v>1.5</v>
      </c>
      <c r="L240" s="8">
        <f t="shared" si="9"/>
        <v>11135.19</v>
      </c>
    </row>
    <row r="241" spans="1:13" x14ac:dyDescent="0.3">
      <c r="A241" s="14" t="s">
        <v>208</v>
      </c>
      <c r="B241" s="15">
        <v>1</v>
      </c>
      <c r="C241" s="14">
        <v>598.08000000000004</v>
      </c>
      <c r="D241" s="51">
        <v>1.6</v>
      </c>
      <c r="E241" s="51">
        <f t="shared" si="7"/>
        <v>956.92800000000011</v>
      </c>
      <c r="F241" s="16">
        <v>960</v>
      </c>
      <c r="G241" s="23">
        <v>1.95</v>
      </c>
      <c r="H241" s="27">
        <f t="shared" si="8"/>
        <v>1166.2560000000001</v>
      </c>
      <c r="I241" s="29">
        <v>1170</v>
      </c>
      <c r="J241" s="13">
        <v>900</v>
      </c>
      <c r="K241" s="8">
        <v>1.5</v>
      </c>
      <c r="L241" s="8">
        <f t="shared" si="9"/>
        <v>897.12000000000012</v>
      </c>
    </row>
    <row r="242" spans="1:13" x14ac:dyDescent="0.3">
      <c r="A242" s="14" t="s">
        <v>209</v>
      </c>
      <c r="B242" s="15">
        <v>1</v>
      </c>
      <c r="C242" s="14">
        <v>2141.31</v>
      </c>
      <c r="D242" s="51">
        <v>1.6</v>
      </c>
      <c r="E242" s="51">
        <f t="shared" si="7"/>
        <v>3426.096</v>
      </c>
      <c r="F242" s="16">
        <v>3450</v>
      </c>
      <c r="G242" s="23">
        <v>1.95</v>
      </c>
      <c r="H242" s="27">
        <f t="shared" si="8"/>
        <v>4175.5545000000002</v>
      </c>
      <c r="I242" s="29">
        <v>4180</v>
      </c>
      <c r="J242" s="13">
        <v>3220</v>
      </c>
      <c r="K242" s="8">
        <v>1.5</v>
      </c>
      <c r="L242" s="8">
        <f t="shared" si="9"/>
        <v>3211.9650000000001</v>
      </c>
    </row>
    <row r="243" spans="1:13" x14ac:dyDescent="0.3">
      <c r="A243" s="14" t="s">
        <v>210</v>
      </c>
      <c r="B243" s="15">
        <v>1</v>
      </c>
      <c r="C243" s="14">
        <v>13886</v>
      </c>
      <c r="D243" s="51">
        <v>1.6</v>
      </c>
      <c r="E243" s="51">
        <f t="shared" si="7"/>
        <v>22217.600000000002</v>
      </c>
      <c r="F243" s="16">
        <v>22220</v>
      </c>
      <c r="G243" s="23">
        <v>1.95</v>
      </c>
      <c r="H243" s="27">
        <f t="shared" si="8"/>
        <v>27077.7</v>
      </c>
      <c r="I243" s="29">
        <v>27080</v>
      </c>
      <c r="J243" s="13">
        <v>20830</v>
      </c>
      <c r="K243" s="8">
        <v>1.5</v>
      </c>
      <c r="L243" s="8">
        <f t="shared" si="9"/>
        <v>20829</v>
      </c>
    </row>
    <row r="244" spans="1:13" x14ac:dyDescent="0.3">
      <c r="A244" s="14" t="s">
        <v>287</v>
      </c>
      <c r="B244" s="14">
        <v>1</v>
      </c>
      <c r="C244" s="14">
        <v>5129.37</v>
      </c>
      <c r="D244" s="51">
        <v>1.6</v>
      </c>
      <c r="E244" s="51">
        <f t="shared" si="7"/>
        <v>8206.9920000000002</v>
      </c>
      <c r="F244" s="16"/>
      <c r="G244" s="23">
        <v>1.95</v>
      </c>
      <c r="H244" s="27">
        <f t="shared" si="8"/>
        <v>10002.271499999999</v>
      </c>
      <c r="I244" s="29"/>
      <c r="J244" s="23"/>
      <c r="K244" s="8">
        <v>1.5</v>
      </c>
      <c r="L244" s="8">
        <f t="shared" si="9"/>
        <v>7694.0550000000003</v>
      </c>
    </row>
    <row r="245" spans="1:13" x14ac:dyDescent="0.3">
      <c r="A245" s="24" t="s">
        <v>348</v>
      </c>
      <c r="B245" s="14">
        <v>1</v>
      </c>
      <c r="C245" s="14">
        <v>12192.04</v>
      </c>
      <c r="D245" s="51">
        <v>1.6</v>
      </c>
      <c r="E245" s="51">
        <f t="shared" si="7"/>
        <v>19507.264000000003</v>
      </c>
      <c r="F245" s="16"/>
      <c r="G245" s="23">
        <v>1.95</v>
      </c>
      <c r="H245" s="27">
        <f t="shared" si="8"/>
        <v>23774.478000000003</v>
      </c>
      <c r="I245" s="29"/>
      <c r="J245" s="23"/>
      <c r="K245" s="8">
        <v>1.5</v>
      </c>
      <c r="L245" s="8">
        <f t="shared" si="9"/>
        <v>18288.060000000001</v>
      </c>
    </row>
    <row r="246" spans="1:13" x14ac:dyDescent="0.3">
      <c r="A246" s="14" t="s">
        <v>349</v>
      </c>
      <c r="B246" s="14">
        <v>1</v>
      </c>
      <c r="C246" s="14">
        <v>15418.7</v>
      </c>
      <c r="D246" s="51">
        <v>1.6</v>
      </c>
      <c r="E246" s="51">
        <f t="shared" si="7"/>
        <v>24669.920000000002</v>
      </c>
      <c r="F246" s="16">
        <v>24700</v>
      </c>
      <c r="G246" s="23">
        <v>1.95</v>
      </c>
      <c r="H246" s="27">
        <f t="shared" si="8"/>
        <v>30066.465</v>
      </c>
      <c r="I246" s="29">
        <v>30100</v>
      </c>
      <c r="J246" s="23">
        <v>23130</v>
      </c>
      <c r="K246" s="8">
        <v>1.5</v>
      </c>
      <c r="L246" s="8">
        <f t="shared" si="9"/>
        <v>23128.050000000003</v>
      </c>
      <c r="M246">
        <f>19666.33/100</f>
        <v>196.66330000000002</v>
      </c>
    </row>
    <row r="247" spans="1:13" x14ac:dyDescent="0.3">
      <c r="A247" s="14" t="s">
        <v>214</v>
      </c>
      <c r="B247" s="14">
        <v>1</v>
      </c>
      <c r="C247" s="14">
        <v>14930.76</v>
      </c>
      <c r="D247" s="51">
        <v>1.6</v>
      </c>
      <c r="E247" s="51">
        <f t="shared" si="7"/>
        <v>23889.216</v>
      </c>
      <c r="F247" s="16"/>
      <c r="G247" s="23">
        <v>1.95</v>
      </c>
      <c r="H247" s="27">
        <f t="shared" si="8"/>
        <v>29114.982</v>
      </c>
      <c r="I247" s="29"/>
      <c r="J247" s="23"/>
      <c r="K247" s="8">
        <v>1.5</v>
      </c>
      <c r="L247" s="8">
        <f t="shared" si="9"/>
        <v>22396.14</v>
      </c>
    </row>
    <row r="248" spans="1:13" x14ac:dyDescent="0.3">
      <c r="A248" s="14" t="s">
        <v>215</v>
      </c>
      <c r="B248" s="14">
        <v>1</v>
      </c>
      <c r="C248" s="14">
        <v>1391.77</v>
      </c>
      <c r="D248" s="51">
        <v>1.6</v>
      </c>
      <c r="E248" s="51">
        <f t="shared" si="7"/>
        <v>2226.8319999999999</v>
      </c>
      <c r="F248" s="16">
        <v>2230</v>
      </c>
      <c r="G248" s="23">
        <v>1.95</v>
      </c>
      <c r="H248" s="27">
        <f t="shared" si="8"/>
        <v>2713.9515000000001</v>
      </c>
      <c r="I248" s="29">
        <v>2720</v>
      </c>
      <c r="J248" s="23">
        <v>2090</v>
      </c>
      <c r="K248" s="8">
        <v>1.5</v>
      </c>
      <c r="L248" s="8">
        <f t="shared" si="9"/>
        <v>2087.6549999999997</v>
      </c>
    </row>
    <row r="249" spans="1:13" x14ac:dyDescent="0.3">
      <c r="A249" s="82" t="s">
        <v>216</v>
      </c>
      <c r="B249" s="75"/>
      <c r="C249" s="75"/>
      <c r="D249" s="83"/>
      <c r="E249" s="83"/>
      <c r="F249" s="75"/>
      <c r="G249" s="70"/>
      <c r="H249" s="71"/>
      <c r="I249" s="72"/>
      <c r="J249" s="70"/>
      <c r="K249" s="76"/>
      <c r="L249" s="76"/>
    </row>
    <row r="250" spans="1:13" x14ac:dyDescent="0.3">
      <c r="A250" s="24" t="s">
        <v>217</v>
      </c>
      <c r="B250" s="14">
        <v>100</v>
      </c>
      <c r="C250" s="14">
        <v>2816.79</v>
      </c>
      <c r="D250" s="51">
        <v>1.6</v>
      </c>
      <c r="E250" s="51">
        <f t="shared" si="7"/>
        <v>4506.8640000000005</v>
      </c>
      <c r="F250" s="25">
        <v>4510</v>
      </c>
      <c r="G250" s="23">
        <v>1.95</v>
      </c>
      <c r="H250" s="27">
        <f t="shared" si="8"/>
        <v>5492.7404999999999</v>
      </c>
      <c r="I250" s="29">
        <v>5500</v>
      </c>
      <c r="J250" s="23">
        <v>4230</v>
      </c>
      <c r="K250" s="8">
        <v>1.5</v>
      </c>
      <c r="L250" s="8">
        <f t="shared" si="9"/>
        <v>4225.1849999999995</v>
      </c>
    </row>
    <row r="251" spans="1:13" x14ac:dyDescent="0.3">
      <c r="A251" s="14" t="s">
        <v>218</v>
      </c>
      <c r="B251" s="14">
        <v>50</v>
      </c>
      <c r="C251" s="14">
        <v>1988.93</v>
      </c>
      <c r="D251" s="51">
        <v>1.6</v>
      </c>
      <c r="E251" s="51">
        <f t="shared" si="7"/>
        <v>3182.2880000000005</v>
      </c>
      <c r="F251" s="16"/>
      <c r="G251" s="23">
        <v>1.95</v>
      </c>
      <c r="H251" s="27">
        <f>C251*G251</f>
        <v>3878.4135000000001</v>
      </c>
      <c r="I251" s="29"/>
      <c r="J251" s="23"/>
      <c r="K251" s="8">
        <v>1.5</v>
      </c>
      <c r="L251" s="8">
        <f>C251*K251</f>
        <v>2983.395</v>
      </c>
    </row>
    <row r="252" spans="1:13" x14ac:dyDescent="0.3">
      <c r="A252" s="82" t="s">
        <v>219</v>
      </c>
      <c r="B252" s="75"/>
      <c r="C252" s="75"/>
      <c r="D252" s="83"/>
      <c r="E252" s="83"/>
      <c r="F252" s="75"/>
      <c r="G252" s="70"/>
      <c r="H252" s="71"/>
      <c r="I252" s="72"/>
      <c r="J252" s="70"/>
      <c r="K252" s="76"/>
      <c r="L252" s="76"/>
    </row>
    <row r="253" spans="1:13" x14ac:dyDescent="0.3">
      <c r="A253" s="20" t="s">
        <v>220</v>
      </c>
      <c r="B253" s="14">
        <v>1</v>
      </c>
      <c r="C253" s="14">
        <v>257.08999999999997</v>
      </c>
      <c r="D253" s="51">
        <v>1.6</v>
      </c>
      <c r="E253" s="51">
        <f>C253*D253</f>
        <v>411.34399999999999</v>
      </c>
      <c r="F253" s="25">
        <v>420</v>
      </c>
      <c r="G253" s="23">
        <v>1.95</v>
      </c>
      <c r="H253" s="31">
        <f>C253*G253</f>
        <v>501.32549999999992</v>
      </c>
      <c r="I253" s="32">
        <v>500</v>
      </c>
      <c r="J253" s="50">
        <v>390</v>
      </c>
      <c r="K253" s="8">
        <v>1.5</v>
      </c>
      <c r="L253" s="8">
        <f>C253*K253</f>
        <v>385.63499999999999</v>
      </c>
    </row>
    <row r="254" spans="1:13" x14ac:dyDescent="0.3">
      <c r="A254" s="20" t="s">
        <v>221</v>
      </c>
      <c r="B254" s="14">
        <v>1</v>
      </c>
      <c r="C254" s="14">
        <v>131.88999999999999</v>
      </c>
      <c r="D254" s="51">
        <v>1.6</v>
      </c>
      <c r="E254" s="51">
        <f>C254*D254</f>
        <v>211.024</v>
      </c>
      <c r="F254" s="25">
        <v>220</v>
      </c>
      <c r="G254" s="23">
        <v>1.95</v>
      </c>
      <c r="H254" s="31">
        <f>C254*G254</f>
        <v>257.18549999999999</v>
      </c>
      <c r="I254" s="32">
        <v>260</v>
      </c>
      <c r="J254" s="50">
        <v>200</v>
      </c>
      <c r="K254" s="8">
        <v>1.5</v>
      </c>
      <c r="L254" s="8">
        <f>C254*K254</f>
        <v>197.83499999999998</v>
      </c>
    </row>
    <row r="255" spans="1:13" x14ac:dyDescent="0.3">
      <c r="A255" s="14" t="s">
        <v>222</v>
      </c>
      <c r="B255" s="23">
        <v>1</v>
      </c>
      <c r="C255" s="14">
        <v>73.81</v>
      </c>
      <c r="D255" s="51">
        <v>1.6</v>
      </c>
      <c r="E255" s="51">
        <f>C255*D255</f>
        <v>118.096</v>
      </c>
      <c r="F255" s="16"/>
      <c r="G255" s="23">
        <v>1.95</v>
      </c>
      <c r="H255" s="27">
        <f>C255*G255</f>
        <v>143.92949999999999</v>
      </c>
      <c r="I255" s="29"/>
      <c r="J255" s="23"/>
      <c r="K255" s="8">
        <v>1.5</v>
      </c>
      <c r="L255" s="8">
        <f>C255*K255</f>
        <v>110.715</v>
      </c>
    </row>
    <row r="256" spans="1:13" x14ac:dyDescent="0.3">
      <c r="A256" s="14" t="s">
        <v>223</v>
      </c>
      <c r="B256" s="14">
        <v>1</v>
      </c>
      <c r="C256" s="14">
        <v>89.03</v>
      </c>
      <c r="D256" s="51">
        <v>1.6</v>
      </c>
      <c r="E256" s="51">
        <f>C256*D256</f>
        <v>142.44800000000001</v>
      </c>
      <c r="F256" s="16"/>
      <c r="G256" s="23">
        <v>1.95</v>
      </c>
      <c r="H256" s="27">
        <f>C256*G256</f>
        <v>173.60849999999999</v>
      </c>
      <c r="I256" s="29"/>
      <c r="J256" s="23"/>
      <c r="K256" s="8">
        <v>1.5</v>
      </c>
      <c r="L256" s="8">
        <f>C256*K256</f>
        <v>133.54500000000002</v>
      </c>
    </row>
    <row r="257" spans="1:15" x14ac:dyDescent="0.3">
      <c r="A257" s="82" t="s">
        <v>326</v>
      </c>
      <c r="B257" s="75"/>
      <c r="C257" s="75"/>
      <c r="D257" s="83"/>
      <c r="E257" s="83"/>
      <c r="F257" s="75"/>
      <c r="G257" s="70"/>
      <c r="H257" s="71"/>
      <c r="I257" s="72"/>
      <c r="J257" s="70"/>
      <c r="K257" s="76"/>
      <c r="L257" s="76"/>
    </row>
    <row r="258" spans="1:15" x14ac:dyDescent="0.3">
      <c r="A258" s="14" t="s">
        <v>225</v>
      </c>
      <c r="B258" s="23">
        <v>1</v>
      </c>
      <c r="C258" s="14">
        <v>525.67999999999995</v>
      </c>
      <c r="D258" s="51">
        <v>1.6</v>
      </c>
      <c r="E258" s="14">
        <f t="shared" ref="E258:E265" si="10">C258*D258</f>
        <v>841.08799999999997</v>
      </c>
      <c r="F258" s="16">
        <v>850</v>
      </c>
      <c r="G258" s="23">
        <v>1.95</v>
      </c>
      <c r="H258" s="27">
        <f t="shared" ref="H258:H265" si="11">C258*G258</f>
        <v>1025.0759999999998</v>
      </c>
      <c r="I258" s="29">
        <v>1030</v>
      </c>
      <c r="J258" s="23">
        <v>790</v>
      </c>
      <c r="K258" s="8">
        <v>1.5</v>
      </c>
      <c r="L258" s="8">
        <f t="shared" ref="L258:L265" si="12">C258*K258</f>
        <v>788.52</v>
      </c>
    </row>
    <row r="259" spans="1:15" x14ac:dyDescent="0.3">
      <c r="A259" s="14" t="s">
        <v>329</v>
      </c>
      <c r="B259" s="23">
        <v>1</v>
      </c>
      <c r="C259" s="14">
        <v>1609.88</v>
      </c>
      <c r="D259" s="51">
        <v>1.6</v>
      </c>
      <c r="E259" s="14">
        <f t="shared" si="10"/>
        <v>2575.8080000000004</v>
      </c>
      <c r="F259" s="16"/>
      <c r="G259" s="23">
        <v>1.95</v>
      </c>
      <c r="H259" s="27">
        <f t="shared" si="11"/>
        <v>3139.2660000000001</v>
      </c>
      <c r="I259" s="29"/>
      <c r="J259" s="23"/>
      <c r="K259" s="8">
        <v>1.5</v>
      </c>
      <c r="L259" s="8">
        <f t="shared" si="12"/>
        <v>2414.8200000000002</v>
      </c>
    </row>
    <row r="260" spans="1:15" x14ac:dyDescent="0.3">
      <c r="A260" s="14" t="s">
        <v>330</v>
      </c>
      <c r="B260" s="23">
        <v>1</v>
      </c>
      <c r="C260" s="14">
        <v>1261.8800000000001</v>
      </c>
      <c r="D260" s="51">
        <v>1.6</v>
      </c>
      <c r="E260" s="14">
        <f t="shared" si="10"/>
        <v>2019.0080000000003</v>
      </c>
      <c r="F260" s="16"/>
      <c r="G260" s="23">
        <v>1.95</v>
      </c>
      <c r="H260" s="27">
        <f t="shared" si="11"/>
        <v>2460.6660000000002</v>
      </c>
      <c r="I260" s="29"/>
      <c r="J260" s="23"/>
      <c r="K260" s="8">
        <v>1.5</v>
      </c>
      <c r="L260" s="8">
        <f t="shared" si="12"/>
        <v>1892.8200000000002</v>
      </c>
    </row>
    <row r="261" spans="1:15" x14ac:dyDescent="0.3">
      <c r="A261" s="14" t="s">
        <v>331</v>
      </c>
      <c r="B261" s="23">
        <v>1</v>
      </c>
      <c r="C261" s="14">
        <v>406.45</v>
      </c>
      <c r="D261" s="51">
        <v>1.6</v>
      </c>
      <c r="E261" s="14">
        <f t="shared" si="10"/>
        <v>650.32000000000005</v>
      </c>
      <c r="F261" s="16"/>
      <c r="G261" s="23">
        <v>1.95</v>
      </c>
      <c r="H261" s="27">
        <f t="shared" si="11"/>
        <v>792.57749999999999</v>
      </c>
      <c r="I261" s="29"/>
      <c r="J261" s="23"/>
      <c r="K261" s="8">
        <v>1.5</v>
      </c>
      <c r="L261" s="8">
        <f t="shared" si="12"/>
        <v>609.67499999999995</v>
      </c>
    </row>
    <row r="262" spans="1:15" x14ac:dyDescent="0.3">
      <c r="A262" s="14" t="s">
        <v>332</v>
      </c>
      <c r="B262" s="23">
        <v>1</v>
      </c>
      <c r="C262" s="14">
        <v>3080</v>
      </c>
      <c r="D262" s="51">
        <v>1.6</v>
      </c>
      <c r="E262" s="14">
        <f t="shared" si="10"/>
        <v>4928</v>
      </c>
      <c r="F262" s="16"/>
      <c r="G262" s="23">
        <v>1.95</v>
      </c>
      <c r="H262" s="27">
        <f t="shared" si="11"/>
        <v>6006</v>
      </c>
      <c r="I262" s="29"/>
      <c r="J262" s="23"/>
      <c r="K262" s="8">
        <v>1.5</v>
      </c>
      <c r="L262" s="8">
        <f t="shared" si="12"/>
        <v>4620</v>
      </c>
    </row>
    <row r="263" spans="1:15" x14ac:dyDescent="0.3">
      <c r="A263" s="14" t="s">
        <v>333</v>
      </c>
      <c r="B263" s="23">
        <v>1</v>
      </c>
      <c r="C263" s="14">
        <v>3500</v>
      </c>
      <c r="D263" s="51">
        <v>1.6</v>
      </c>
      <c r="E263" s="14">
        <f t="shared" si="10"/>
        <v>5600</v>
      </c>
      <c r="F263" s="16"/>
      <c r="G263" s="23">
        <v>1.95</v>
      </c>
      <c r="H263" s="27">
        <f t="shared" si="11"/>
        <v>6825</v>
      </c>
      <c r="I263" s="29"/>
      <c r="J263" s="23"/>
      <c r="K263" s="8">
        <v>1.5</v>
      </c>
      <c r="L263" s="8">
        <f t="shared" si="12"/>
        <v>5250</v>
      </c>
    </row>
    <row r="264" spans="1:15" x14ac:dyDescent="0.3">
      <c r="A264" s="14" t="s">
        <v>334</v>
      </c>
      <c r="B264" s="23">
        <v>1</v>
      </c>
      <c r="C264" s="14">
        <v>3800</v>
      </c>
      <c r="D264" s="51">
        <v>1.6</v>
      </c>
      <c r="E264" s="14">
        <f t="shared" si="10"/>
        <v>6080</v>
      </c>
      <c r="F264" s="16"/>
      <c r="G264" s="23">
        <v>1.95</v>
      </c>
      <c r="H264" s="27">
        <f t="shared" si="11"/>
        <v>7410</v>
      </c>
      <c r="I264" s="29"/>
      <c r="J264" s="23"/>
      <c r="K264" s="8">
        <v>1.5</v>
      </c>
      <c r="L264" s="8">
        <f t="shared" si="12"/>
        <v>5700</v>
      </c>
    </row>
    <row r="265" spans="1:15" x14ac:dyDescent="0.3">
      <c r="A265" s="14" t="s">
        <v>226</v>
      </c>
      <c r="B265" s="23">
        <v>1</v>
      </c>
      <c r="C265" s="14">
        <v>165</v>
      </c>
      <c r="D265" s="51">
        <v>1.6</v>
      </c>
      <c r="E265" s="14">
        <f t="shared" si="10"/>
        <v>264</v>
      </c>
      <c r="F265" s="16"/>
      <c r="G265" s="23">
        <v>1.95</v>
      </c>
      <c r="H265" s="27">
        <f t="shared" si="11"/>
        <v>321.75</v>
      </c>
      <c r="I265" s="29"/>
      <c r="J265" s="23"/>
      <c r="K265" s="8">
        <v>1.5</v>
      </c>
      <c r="L265" s="8">
        <f t="shared" si="12"/>
        <v>247.5</v>
      </c>
    </row>
    <row r="266" spans="1:15" x14ac:dyDescent="0.3">
      <c r="A266" s="108" t="s">
        <v>248</v>
      </c>
      <c r="B266" s="70"/>
      <c r="C266" s="75"/>
      <c r="D266" s="83"/>
      <c r="E266" s="75"/>
      <c r="F266" s="109"/>
      <c r="G266" s="70"/>
      <c r="H266" s="110"/>
      <c r="I266" s="111"/>
      <c r="J266" s="112"/>
      <c r="K266" s="76"/>
      <c r="L266" s="113"/>
    </row>
    <row r="267" spans="1:15" x14ac:dyDescent="0.3">
      <c r="A267" s="14" t="s">
        <v>227</v>
      </c>
      <c r="B267" s="23">
        <v>1</v>
      </c>
      <c r="C267" s="14">
        <v>971.25</v>
      </c>
      <c r="D267" s="51">
        <v>1.6</v>
      </c>
      <c r="E267" s="14">
        <f t="shared" ref="E267:E273" si="13">C267*D267</f>
        <v>1554</v>
      </c>
      <c r="F267" s="16"/>
      <c r="G267" s="23">
        <v>1.95</v>
      </c>
      <c r="H267" s="27">
        <f t="shared" ref="H267:H273" si="14">C267*G267</f>
        <v>1893.9375</v>
      </c>
      <c r="I267" s="29"/>
      <c r="J267" s="23"/>
      <c r="K267" s="8">
        <v>1.5</v>
      </c>
      <c r="L267" s="8">
        <f t="shared" ref="L267:L273" si="15">C267*K267</f>
        <v>1456.875</v>
      </c>
      <c r="O267">
        <f>748.4/50</f>
        <v>14.968</v>
      </c>
    </row>
    <row r="268" spans="1:15" x14ac:dyDescent="0.3">
      <c r="A268" s="14" t="s">
        <v>228</v>
      </c>
      <c r="B268" s="23">
        <v>1</v>
      </c>
      <c r="C268" s="14">
        <v>180.3</v>
      </c>
      <c r="D268" s="51">
        <v>1.6</v>
      </c>
      <c r="E268" s="14">
        <f t="shared" si="13"/>
        <v>288.48</v>
      </c>
      <c r="F268" s="16"/>
      <c r="G268" s="23">
        <v>1.95</v>
      </c>
      <c r="H268" s="27">
        <f t="shared" si="14"/>
        <v>351.58500000000004</v>
      </c>
      <c r="I268" s="29"/>
      <c r="J268" s="23"/>
      <c r="K268" s="8">
        <v>1.5</v>
      </c>
      <c r="L268" s="8">
        <f t="shared" si="15"/>
        <v>270.45000000000005</v>
      </c>
      <c r="O268">
        <f>2197.57/50</f>
        <v>43.951400000000007</v>
      </c>
    </row>
    <row r="269" spans="1:15" x14ac:dyDescent="0.3">
      <c r="A269" s="14" t="s">
        <v>304</v>
      </c>
      <c r="B269" s="23">
        <v>1</v>
      </c>
      <c r="C269" s="14">
        <v>326.87</v>
      </c>
      <c r="D269" s="51">
        <v>1.6</v>
      </c>
      <c r="E269" s="14">
        <f t="shared" si="13"/>
        <v>522.99200000000008</v>
      </c>
      <c r="F269" s="16"/>
      <c r="G269" s="23">
        <v>1.95</v>
      </c>
      <c r="H269" s="27">
        <f t="shared" si="14"/>
        <v>637.39649999999995</v>
      </c>
      <c r="I269" s="29"/>
      <c r="J269" s="23"/>
      <c r="K269" s="8">
        <v>1.5</v>
      </c>
      <c r="L269" s="8">
        <f t="shared" si="15"/>
        <v>490.30500000000001</v>
      </c>
    </row>
    <row r="270" spans="1:15" x14ac:dyDescent="0.3">
      <c r="A270" s="14" t="s">
        <v>305</v>
      </c>
      <c r="B270" s="23">
        <v>1</v>
      </c>
      <c r="C270" s="14">
        <v>401.47</v>
      </c>
      <c r="D270" s="51">
        <v>1.6</v>
      </c>
      <c r="E270" s="14">
        <f t="shared" si="13"/>
        <v>642.35200000000009</v>
      </c>
      <c r="F270" s="16"/>
      <c r="G270" s="23">
        <v>1.95</v>
      </c>
      <c r="H270" s="27">
        <f t="shared" si="14"/>
        <v>782.86650000000009</v>
      </c>
      <c r="I270" s="29"/>
      <c r="J270" s="23"/>
      <c r="K270" s="8">
        <v>1.5</v>
      </c>
      <c r="L270" s="8">
        <f t="shared" si="15"/>
        <v>602.20500000000004</v>
      </c>
    </row>
    <row r="271" spans="1:15" x14ac:dyDescent="0.3">
      <c r="A271" s="14" t="s">
        <v>306</v>
      </c>
      <c r="B271" s="23">
        <v>1</v>
      </c>
      <c r="C271" s="14">
        <v>250.34</v>
      </c>
      <c r="D271" s="51">
        <v>1.6</v>
      </c>
      <c r="E271" s="14">
        <f t="shared" si="13"/>
        <v>400.54400000000004</v>
      </c>
      <c r="F271" s="16"/>
      <c r="G271" s="23">
        <v>1.95</v>
      </c>
      <c r="H271" s="27">
        <f t="shared" si="14"/>
        <v>488.16300000000001</v>
      </c>
      <c r="I271" s="29"/>
      <c r="J271" s="23"/>
      <c r="K271" s="8">
        <v>1.5</v>
      </c>
      <c r="L271" s="8">
        <f t="shared" si="15"/>
        <v>375.51</v>
      </c>
    </row>
    <row r="272" spans="1:15" x14ac:dyDescent="0.3">
      <c r="A272" s="14" t="s">
        <v>307</v>
      </c>
      <c r="B272" s="23">
        <v>1</v>
      </c>
      <c r="C272" s="14">
        <v>296.57</v>
      </c>
      <c r="D272" s="51">
        <v>1.6</v>
      </c>
      <c r="E272" s="14">
        <f t="shared" si="13"/>
        <v>474.512</v>
      </c>
      <c r="F272" s="16"/>
      <c r="G272" s="23">
        <v>1.95</v>
      </c>
      <c r="H272" s="27">
        <f t="shared" si="14"/>
        <v>578.31150000000002</v>
      </c>
      <c r="I272" s="29"/>
      <c r="J272" s="23"/>
      <c r="K272" s="8">
        <v>1.5</v>
      </c>
      <c r="L272" s="8">
        <f t="shared" si="15"/>
        <v>444.85500000000002</v>
      </c>
    </row>
    <row r="273" spans="1:14" x14ac:dyDescent="0.3">
      <c r="A273" s="14" t="s">
        <v>308</v>
      </c>
      <c r="B273" s="23">
        <v>1</v>
      </c>
      <c r="C273" s="14">
        <v>331.01</v>
      </c>
      <c r="D273" s="51">
        <v>1.6</v>
      </c>
      <c r="E273" s="14">
        <f t="shared" si="13"/>
        <v>529.61599999999999</v>
      </c>
      <c r="F273" s="16"/>
      <c r="G273" s="23">
        <v>1.95</v>
      </c>
      <c r="H273" s="14">
        <f t="shared" si="14"/>
        <v>645.46949999999993</v>
      </c>
      <c r="I273" s="29"/>
      <c r="J273" s="23"/>
      <c r="K273" s="8">
        <v>1.5</v>
      </c>
      <c r="L273" s="14">
        <f t="shared" si="15"/>
        <v>496.51499999999999</v>
      </c>
    </row>
    <row r="274" spans="1:14" x14ac:dyDescent="0.3">
      <c r="A274" s="108" t="s">
        <v>251</v>
      </c>
      <c r="B274" s="70"/>
      <c r="C274" s="75"/>
      <c r="D274" s="83"/>
      <c r="E274" s="75"/>
      <c r="F274" s="109"/>
      <c r="G274" s="70"/>
      <c r="H274" s="110"/>
      <c r="I274" s="111"/>
      <c r="J274" s="112"/>
      <c r="K274" s="76"/>
      <c r="L274" s="113"/>
    </row>
    <row r="275" spans="1:14" x14ac:dyDescent="0.3">
      <c r="A275" s="14" t="s">
        <v>252</v>
      </c>
      <c r="B275" s="23">
        <v>1</v>
      </c>
      <c r="C275" s="14">
        <v>5800</v>
      </c>
      <c r="D275" s="51">
        <v>1.6</v>
      </c>
      <c r="E275" s="14">
        <f t="shared" ref="E275:E280" si="16">C275*D275</f>
        <v>9280</v>
      </c>
      <c r="F275" s="121"/>
      <c r="G275" s="23">
        <v>1.95</v>
      </c>
      <c r="H275" s="27">
        <f t="shared" ref="H275:H280" si="17">C275*G275</f>
        <v>11310</v>
      </c>
      <c r="I275" s="29"/>
      <c r="J275" s="23"/>
      <c r="K275" s="8">
        <v>1.5</v>
      </c>
      <c r="L275" s="8">
        <f t="shared" ref="L275:L280" si="18">C275*K275</f>
        <v>8700</v>
      </c>
      <c r="N275">
        <f>479.75*1.21</f>
        <v>580.49749999999995</v>
      </c>
    </row>
    <row r="276" spans="1:14" x14ac:dyDescent="0.3">
      <c r="A276" s="14" t="s">
        <v>191</v>
      </c>
      <c r="B276" s="15">
        <v>1</v>
      </c>
      <c r="C276" s="14">
        <v>4818.18</v>
      </c>
      <c r="D276" s="51">
        <v>1.6</v>
      </c>
      <c r="E276" s="51">
        <f t="shared" si="16"/>
        <v>7709.0880000000006</v>
      </c>
      <c r="F276" s="16"/>
      <c r="G276" s="23">
        <v>1.95</v>
      </c>
      <c r="H276" s="27">
        <f t="shared" si="17"/>
        <v>9395.4510000000009</v>
      </c>
      <c r="I276" s="29"/>
      <c r="J276" s="13"/>
      <c r="K276" s="8">
        <v>1.5</v>
      </c>
      <c r="L276" s="8">
        <f t="shared" si="18"/>
        <v>7227.27</v>
      </c>
    </row>
    <row r="277" spans="1:14" x14ac:dyDescent="0.3">
      <c r="A277" s="14" t="s">
        <v>192</v>
      </c>
      <c r="B277" s="15">
        <v>1</v>
      </c>
      <c r="C277" s="14">
        <v>7434</v>
      </c>
      <c r="D277" s="51">
        <v>1.6</v>
      </c>
      <c r="E277" s="51">
        <f t="shared" si="16"/>
        <v>11894.400000000001</v>
      </c>
      <c r="F277" s="16">
        <v>11900</v>
      </c>
      <c r="G277" s="23">
        <v>1.95</v>
      </c>
      <c r="H277" s="27">
        <f t="shared" si="17"/>
        <v>14496.3</v>
      </c>
      <c r="I277" s="29">
        <v>14500</v>
      </c>
      <c r="J277" s="13">
        <v>11200</v>
      </c>
      <c r="K277" s="8">
        <v>1.5</v>
      </c>
      <c r="L277" s="8">
        <f t="shared" si="18"/>
        <v>11151</v>
      </c>
    </row>
    <row r="278" spans="1:14" x14ac:dyDescent="0.3">
      <c r="A278" s="14" t="s">
        <v>249</v>
      </c>
      <c r="B278" s="15">
        <v>1</v>
      </c>
      <c r="C278" s="14">
        <v>70</v>
      </c>
      <c r="D278" s="51">
        <v>1.6</v>
      </c>
      <c r="E278" s="51">
        <f t="shared" si="16"/>
        <v>112</v>
      </c>
      <c r="F278" s="16">
        <v>150</v>
      </c>
      <c r="G278" s="23">
        <v>1.95</v>
      </c>
      <c r="H278" s="27">
        <f t="shared" si="17"/>
        <v>136.5</v>
      </c>
      <c r="I278" s="29">
        <v>200</v>
      </c>
      <c r="J278" s="13">
        <v>140</v>
      </c>
      <c r="K278" s="8">
        <v>1.5</v>
      </c>
      <c r="L278" s="8">
        <f t="shared" si="18"/>
        <v>105</v>
      </c>
    </row>
    <row r="279" spans="1:14" x14ac:dyDescent="0.3">
      <c r="A279" s="14" t="s">
        <v>250</v>
      </c>
      <c r="B279" s="15">
        <v>100</v>
      </c>
      <c r="C279" s="14">
        <v>8318.81</v>
      </c>
      <c r="D279" s="51">
        <v>1.6</v>
      </c>
      <c r="E279" s="51">
        <f t="shared" si="16"/>
        <v>13310.096</v>
      </c>
      <c r="F279" s="16"/>
      <c r="G279" s="23">
        <v>1.95</v>
      </c>
      <c r="H279" s="27">
        <f t="shared" si="17"/>
        <v>16221.679499999998</v>
      </c>
      <c r="I279" s="29"/>
      <c r="J279" s="13"/>
      <c r="K279" s="8">
        <v>1.5</v>
      </c>
      <c r="L279" s="8">
        <f t="shared" si="18"/>
        <v>12478.215</v>
      </c>
    </row>
    <row r="280" spans="1:14" x14ac:dyDescent="0.3">
      <c r="A280" s="14" t="s">
        <v>203</v>
      </c>
      <c r="B280" s="15">
        <v>1</v>
      </c>
      <c r="C280" s="14">
        <v>9168.69</v>
      </c>
      <c r="D280" s="51">
        <v>1.6</v>
      </c>
      <c r="E280" s="51">
        <f t="shared" si="16"/>
        <v>14669.904000000002</v>
      </c>
      <c r="F280" s="127"/>
      <c r="G280" s="23">
        <v>1.95</v>
      </c>
      <c r="H280" s="27">
        <f t="shared" si="17"/>
        <v>17878.945500000002</v>
      </c>
      <c r="I280" s="29"/>
      <c r="J280" s="126"/>
      <c r="K280" s="8">
        <v>1.5</v>
      </c>
      <c r="L280" s="8">
        <f t="shared" si="18"/>
        <v>13753.035</v>
      </c>
    </row>
    <row r="281" spans="1:14" x14ac:dyDescent="0.3">
      <c r="A281" s="82" t="s">
        <v>285</v>
      </c>
      <c r="B281" s="70"/>
      <c r="C281" s="75"/>
      <c r="D281" s="83"/>
      <c r="E281" s="75"/>
      <c r="F281" s="75"/>
      <c r="G281" s="70"/>
      <c r="H281" s="71"/>
      <c r="I281" s="72"/>
      <c r="J281" s="70"/>
      <c r="K281" s="76"/>
      <c r="L281" s="76"/>
    </row>
    <row r="282" spans="1:14" x14ac:dyDescent="0.3">
      <c r="A282" s="14" t="s">
        <v>321</v>
      </c>
      <c r="B282" s="14">
        <v>1</v>
      </c>
      <c r="C282" s="14">
        <v>10187.5</v>
      </c>
      <c r="D282" s="51">
        <v>1.6</v>
      </c>
      <c r="E282" s="14">
        <f t="shared" ref="E282:E289" si="19">C282*D282</f>
        <v>16300</v>
      </c>
      <c r="F282" s="127"/>
      <c r="G282" s="23">
        <v>1.95</v>
      </c>
      <c r="H282" s="27">
        <f t="shared" ref="H282:H289" si="20">C282*G282</f>
        <v>19865.625</v>
      </c>
      <c r="I282" s="29"/>
      <c r="J282" s="126"/>
      <c r="K282" s="8">
        <v>1.5</v>
      </c>
      <c r="L282" s="8">
        <f t="shared" ref="L282:L289" si="21">C282*K282</f>
        <v>15281.25</v>
      </c>
    </row>
    <row r="283" spans="1:14" x14ac:dyDescent="0.3">
      <c r="A283" s="14" t="s">
        <v>6</v>
      </c>
      <c r="B283" s="23">
        <v>1</v>
      </c>
      <c r="C283" s="14">
        <v>705.03</v>
      </c>
      <c r="D283" s="51">
        <v>1.6</v>
      </c>
      <c r="E283" s="14">
        <f t="shared" si="19"/>
        <v>1128.048</v>
      </c>
      <c r="F283" s="127">
        <v>1130</v>
      </c>
      <c r="G283" s="23">
        <v>1.95</v>
      </c>
      <c r="H283" s="27">
        <f t="shared" si="20"/>
        <v>1374.8084999999999</v>
      </c>
      <c r="I283" s="29">
        <v>1380</v>
      </c>
      <c r="J283" s="126">
        <v>1060</v>
      </c>
      <c r="K283" s="8">
        <v>1.5</v>
      </c>
      <c r="L283" s="8">
        <f t="shared" si="21"/>
        <v>1057.5450000000001</v>
      </c>
    </row>
    <row r="284" spans="1:14" x14ac:dyDescent="0.3">
      <c r="A284" s="14" t="s">
        <v>320</v>
      </c>
      <c r="B284" s="23">
        <v>1</v>
      </c>
      <c r="C284" s="14">
        <v>842</v>
      </c>
      <c r="D284" s="51">
        <v>1.6</v>
      </c>
      <c r="E284" s="14">
        <f t="shared" si="19"/>
        <v>1347.2</v>
      </c>
      <c r="F284" s="127">
        <v>1350</v>
      </c>
      <c r="G284" s="23">
        <v>1.95</v>
      </c>
      <c r="H284" s="27">
        <f t="shared" si="20"/>
        <v>1641.8999999999999</v>
      </c>
      <c r="I284" s="29">
        <v>1650</v>
      </c>
      <c r="J284" s="126">
        <v>1270</v>
      </c>
      <c r="K284" s="8">
        <v>1.5</v>
      </c>
      <c r="L284" s="8">
        <f t="shared" si="21"/>
        <v>1263</v>
      </c>
    </row>
    <row r="285" spans="1:14" x14ac:dyDescent="0.3">
      <c r="A285" s="14" t="s">
        <v>354</v>
      </c>
      <c r="B285" s="23">
        <v>1</v>
      </c>
      <c r="C285" s="14">
        <v>10627.44</v>
      </c>
      <c r="D285" s="51">
        <v>1.6</v>
      </c>
      <c r="E285" s="14">
        <f t="shared" si="19"/>
        <v>17003.904000000002</v>
      </c>
      <c r="F285" s="127">
        <v>17000</v>
      </c>
      <c r="G285" s="23">
        <v>1.95</v>
      </c>
      <c r="H285" s="27">
        <f t="shared" si="20"/>
        <v>20723.508000000002</v>
      </c>
      <c r="I285" s="29">
        <v>20750</v>
      </c>
      <c r="J285" s="126">
        <v>15950</v>
      </c>
      <c r="K285" s="8">
        <v>1.5</v>
      </c>
      <c r="L285" s="8">
        <f t="shared" si="21"/>
        <v>15941.16</v>
      </c>
    </row>
    <row r="286" spans="1:14" x14ac:dyDescent="0.3">
      <c r="A286" s="14" t="s">
        <v>324</v>
      </c>
      <c r="B286" s="23">
        <v>1</v>
      </c>
      <c r="C286" s="14">
        <v>3127.87</v>
      </c>
      <c r="D286" s="51">
        <v>1.6</v>
      </c>
      <c r="E286" s="14">
        <f t="shared" si="19"/>
        <v>5004.5920000000006</v>
      </c>
      <c r="F286" s="127">
        <v>5010</v>
      </c>
      <c r="G286" s="23">
        <v>1.95</v>
      </c>
      <c r="H286" s="27">
        <f t="shared" si="20"/>
        <v>6099.3464999999997</v>
      </c>
      <c r="I286" s="29">
        <v>6100</v>
      </c>
      <c r="J286" s="126">
        <v>4700</v>
      </c>
      <c r="K286" s="8">
        <v>1.5</v>
      </c>
      <c r="L286" s="8">
        <f t="shared" si="21"/>
        <v>4691.8050000000003</v>
      </c>
    </row>
    <row r="287" spans="1:14" x14ac:dyDescent="0.3">
      <c r="A287" s="129" t="s">
        <v>325</v>
      </c>
      <c r="B287" s="23">
        <v>1</v>
      </c>
      <c r="C287" s="14">
        <v>2298</v>
      </c>
      <c r="D287" s="51">
        <v>1.6</v>
      </c>
      <c r="E287" s="14">
        <f t="shared" si="19"/>
        <v>3676.8</v>
      </c>
      <c r="F287" s="127"/>
      <c r="G287" s="23">
        <v>1.95</v>
      </c>
      <c r="H287" s="27">
        <f t="shared" si="20"/>
        <v>4481.0999999999995</v>
      </c>
      <c r="I287" s="29"/>
      <c r="J287" s="126"/>
      <c r="K287" s="8">
        <v>1.5</v>
      </c>
      <c r="L287" s="8">
        <f t="shared" si="21"/>
        <v>3447</v>
      </c>
    </row>
    <row r="288" spans="1:14" x14ac:dyDescent="0.3">
      <c r="A288" s="14" t="s">
        <v>327</v>
      </c>
      <c r="B288" s="8">
        <v>1</v>
      </c>
      <c r="C288" s="14">
        <v>10610.68</v>
      </c>
      <c r="D288" s="51">
        <v>1.6</v>
      </c>
      <c r="E288" s="14">
        <f t="shared" si="19"/>
        <v>16977.088</v>
      </c>
      <c r="F288" s="127"/>
      <c r="G288" s="23">
        <v>1.95</v>
      </c>
      <c r="H288" s="27">
        <f t="shared" si="20"/>
        <v>20690.826000000001</v>
      </c>
      <c r="I288" s="29"/>
      <c r="J288" s="126"/>
      <c r="K288" s="8">
        <v>1.5</v>
      </c>
      <c r="L288" s="8">
        <f t="shared" si="21"/>
        <v>15916.02</v>
      </c>
    </row>
    <row r="289" spans="1:14" x14ac:dyDescent="0.3">
      <c r="A289" s="14" t="s">
        <v>328</v>
      </c>
      <c r="B289" s="8">
        <v>1</v>
      </c>
      <c r="C289" s="14">
        <v>15036.69</v>
      </c>
      <c r="D289" s="51">
        <v>1.6</v>
      </c>
      <c r="E289" s="14">
        <f t="shared" si="19"/>
        <v>24058.704000000002</v>
      </c>
      <c r="F289" s="127">
        <v>24060</v>
      </c>
      <c r="G289" s="23">
        <v>1.95</v>
      </c>
      <c r="H289" s="27">
        <f t="shared" si="20"/>
        <v>29321.5455</v>
      </c>
      <c r="I289" s="29">
        <v>29330</v>
      </c>
      <c r="J289" s="126">
        <v>22560</v>
      </c>
      <c r="K289" s="8">
        <v>1.5</v>
      </c>
      <c r="L289" s="8">
        <f t="shared" si="21"/>
        <v>22555.035</v>
      </c>
    </row>
    <row r="290" spans="1:14" x14ac:dyDescent="0.3">
      <c r="A290" s="75" t="s">
        <v>303</v>
      </c>
      <c r="B290" s="76"/>
      <c r="C290" s="75"/>
      <c r="D290" s="83"/>
      <c r="E290" s="75"/>
      <c r="F290" s="75"/>
      <c r="G290" s="70"/>
      <c r="H290" s="71"/>
      <c r="I290" s="72"/>
      <c r="J290" s="70"/>
      <c r="K290" s="76"/>
      <c r="L290" s="76"/>
    </row>
    <row r="291" spans="1:14" x14ac:dyDescent="0.3">
      <c r="A291" s="14" t="s">
        <v>271</v>
      </c>
      <c r="B291" s="8">
        <v>1</v>
      </c>
      <c r="C291" s="14">
        <v>1195.6400000000001</v>
      </c>
      <c r="D291" s="51">
        <v>1.6</v>
      </c>
      <c r="E291" s="14">
        <f t="shared" ref="E291:E297" si="22">C291*D291</f>
        <v>1913.0240000000003</v>
      </c>
      <c r="F291" s="127">
        <v>1920</v>
      </c>
      <c r="G291" s="23">
        <v>1.95</v>
      </c>
      <c r="H291" s="27">
        <f t="shared" ref="H291:H297" si="23">C291*G291</f>
        <v>2331.498</v>
      </c>
      <c r="I291" s="29">
        <v>2340</v>
      </c>
      <c r="J291" s="126">
        <v>1800</v>
      </c>
      <c r="K291" s="8">
        <v>1.5</v>
      </c>
      <c r="L291" s="8">
        <f t="shared" ref="L291:L297" si="24">C291*K291</f>
        <v>1793.46</v>
      </c>
    </row>
    <row r="292" spans="1:14" x14ac:dyDescent="0.3">
      <c r="A292" s="14" t="s">
        <v>272</v>
      </c>
      <c r="B292" s="8">
        <v>1</v>
      </c>
      <c r="C292" s="14">
        <v>1590</v>
      </c>
      <c r="D292" s="51">
        <v>1.6</v>
      </c>
      <c r="E292" s="14">
        <f t="shared" si="22"/>
        <v>2544</v>
      </c>
      <c r="F292" s="127">
        <v>2550</v>
      </c>
      <c r="G292" s="23">
        <v>1.95</v>
      </c>
      <c r="H292" s="27">
        <f t="shared" si="23"/>
        <v>3100.5</v>
      </c>
      <c r="I292" s="29">
        <v>3100</v>
      </c>
      <c r="J292" s="126">
        <v>2390</v>
      </c>
      <c r="K292" s="8">
        <v>1.5</v>
      </c>
      <c r="L292" s="8">
        <f t="shared" si="24"/>
        <v>2385</v>
      </c>
    </row>
    <row r="293" spans="1:14" x14ac:dyDescent="0.3">
      <c r="A293" s="14" t="s">
        <v>273</v>
      </c>
      <c r="B293" s="8">
        <v>1</v>
      </c>
      <c r="C293" s="14">
        <v>1700</v>
      </c>
      <c r="D293" s="51">
        <v>1.6</v>
      </c>
      <c r="E293" s="14">
        <f t="shared" si="22"/>
        <v>2720</v>
      </c>
      <c r="F293" s="127">
        <v>2750</v>
      </c>
      <c r="G293" s="23">
        <v>1.95</v>
      </c>
      <c r="H293" s="27">
        <f t="shared" si="23"/>
        <v>3315</v>
      </c>
      <c r="I293" s="29">
        <v>3320</v>
      </c>
      <c r="J293" s="126">
        <v>2550</v>
      </c>
      <c r="K293" s="8">
        <v>1.5</v>
      </c>
      <c r="L293" s="8">
        <f t="shared" si="24"/>
        <v>2550</v>
      </c>
    </row>
    <row r="294" spans="1:14" x14ac:dyDescent="0.3">
      <c r="A294" s="14" t="s">
        <v>274</v>
      </c>
      <c r="B294" s="8">
        <v>1</v>
      </c>
      <c r="C294" s="14">
        <v>2283</v>
      </c>
      <c r="D294" s="51">
        <v>1.6</v>
      </c>
      <c r="E294" s="14">
        <f t="shared" si="22"/>
        <v>3652.8</v>
      </c>
      <c r="F294" s="127">
        <v>3700</v>
      </c>
      <c r="G294" s="23">
        <v>1.95</v>
      </c>
      <c r="H294" s="27">
        <f t="shared" si="23"/>
        <v>4451.8499999999995</v>
      </c>
      <c r="I294" s="29">
        <v>4460</v>
      </c>
      <c r="J294" s="126">
        <v>3430</v>
      </c>
      <c r="K294" s="8">
        <v>1.5</v>
      </c>
      <c r="L294" s="8">
        <f t="shared" si="24"/>
        <v>3424.5</v>
      </c>
    </row>
    <row r="295" spans="1:14" x14ac:dyDescent="0.3">
      <c r="A295" s="14" t="s">
        <v>322</v>
      </c>
      <c r="B295" s="8">
        <v>1</v>
      </c>
      <c r="C295" s="14">
        <v>632</v>
      </c>
      <c r="D295" s="51">
        <v>1.6</v>
      </c>
      <c r="E295" s="14">
        <f t="shared" si="22"/>
        <v>1011.2</v>
      </c>
      <c r="F295" s="127">
        <v>1100</v>
      </c>
      <c r="G295" s="23">
        <v>1.95</v>
      </c>
      <c r="H295" s="27">
        <f t="shared" si="23"/>
        <v>1232.3999999999999</v>
      </c>
      <c r="I295" s="29">
        <v>1240</v>
      </c>
      <c r="J295" s="126">
        <v>950</v>
      </c>
      <c r="K295" s="8">
        <v>1.5</v>
      </c>
      <c r="L295" s="8">
        <f t="shared" si="24"/>
        <v>948</v>
      </c>
      <c r="N295">
        <f>8837.53/200</f>
        <v>44.187650000000005</v>
      </c>
    </row>
    <row r="296" spans="1:14" x14ac:dyDescent="0.3">
      <c r="A296" s="14" t="s">
        <v>336</v>
      </c>
      <c r="B296" s="8">
        <v>1</v>
      </c>
      <c r="C296" s="130">
        <v>2550</v>
      </c>
      <c r="D296" s="51">
        <v>1.6</v>
      </c>
      <c r="E296" s="14">
        <f t="shared" si="22"/>
        <v>4080</v>
      </c>
      <c r="F296" s="132">
        <v>4100</v>
      </c>
      <c r="G296" s="23">
        <v>1.95</v>
      </c>
      <c r="H296" s="27">
        <f t="shared" si="23"/>
        <v>4972.5</v>
      </c>
      <c r="I296" s="30">
        <v>4990</v>
      </c>
      <c r="J296" s="131">
        <v>3900</v>
      </c>
      <c r="K296" s="8">
        <v>1.5</v>
      </c>
      <c r="L296" s="8">
        <f t="shared" si="24"/>
        <v>3825</v>
      </c>
    </row>
    <row r="297" spans="1:14" x14ac:dyDescent="0.3">
      <c r="A297" s="14" t="s">
        <v>345</v>
      </c>
      <c r="B297" s="8">
        <v>1</v>
      </c>
      <c r="C297" s="130">
        <v>2500</v>
      </c>
      <c r="D297" s="51">
        <v>1.6</v>
      </c>
      <c r="E297" s="14">
        <f t="shared" si="22"/>
        <v>4000</v>
      </c>
      <c r="F297" s="132"/>
      <c r="G297" s="23">
        <v>1.95</v>
      </c>
      <c r="H297" s="27">
        <f t="shared" si="23"/>
        <v>4875</v>
      </c>
      <c r="J297" s="131"/>
      <c r="K297" s="8">
        <v>1.5</v>
      </c>
      <c r="L297" s="8">
        <f t="shared" si="24"/>
        <v>3750</v>
      </c>
    </row>
    <row r="298" spans="1:14" x14ac:dyDescent="0.3">
      <c r="A298" s="10"/>
      <c r="D298" s="86"/>
      <c r="F298" s="90"/>
      <c r="G298" s="12"/>
      <c r="I298" s="92"/>
      <c r="J298" s="87"/>
    </row>
    <row r="299" spans="1:14" x14ac:dyDescent="0.3">
      <c r="A299" s="2"/>
      <c r="D299" s="86"/>
      <c r="F299" s="90"/>
      <c r="G299" s="12"/>
      <c r="I299" s="92"/>
      <c r="J299" s="87"/>
    </row>
    <row r="300" spans="1:14" x14ac:dyDescent="0.3">
      <c r="A300" s="2"/>
      <c r="D300" s="86"/>
      <c r="F300" s="90"/>
      <c r="G300" s="12"/>
      <c r="I300" s="92"/>
      <c r="J300" s="87"/>
    </row>
    <row r="301" spans="1:14" x14ac:dyDescent="0.3">
      <c r="A301" s="2"/>
      <c r="D301" s="86"/>
      <c r="F301" s="90"/>
      <c r="G301" s="12"/>
      <c r="I301" s="92"/>
      <c r="J301" s="87"/>
    </row>
    <row r="302" spans="1:14" x14ac:dyDescent="0.3">
      <c r="A302" s="88"/>
      <c r="D302" s="86"/>
      <c r="F302" s="90"/>
      <c r="G302" s="12"/>
      <c r="I302" s="92"/>
      <c r="J302" s="89"/>
    </row>
    <row r="303" spans="1:14" x14ac:dyDescent="0.3">
      <c r="D303" s="86"/>
      <c r="F303" s="90"/>
      <c r="G303" s="12"/>
      <c r="I303" s="92"/>
    </row>
    <row r="304" spans="1:14" x14ac:dyDescent="0.3">
      <c r="D304" s="86"/>
      <c r="F304" s="90"/>
      <c r="G304" s="12"/>
      <c r="I304" s="92"/>
    </row>
    <row r="305" spans="4:9" x14ac:dyDescent="0.3">
      <c r="D305" s="86"/>
      <c r="F305" s="90"/>
      <c r="G305" s="12"/>
      <c r="I305" s="92"/>
    </row>
    <row r="306" spans="4:9" x14ac:dyDescent="0.3">
      <c r="D306" s="86"/>
      <c r="F306" s="90"/>
      <c r="G306" s="12"/>
      <c r="I306" s="92"/>
    </row>
    <row r="307" spans="4:9" x14ac:dyDescent="0.3">
      <c r="D307" s="86"/>
      <c r="F307" s="91"/>
      <c r="G307" s="12"/>
      <c r="I307" s="92"/>
    </row>
    <row r="308" spans="4:9" x14ac:dyDescent="0.3">
      <c r="D308" s="86"/>
      <c r="F308" s="91"/>
      <c r="G308" s="12"/>
      <c r="I308" s="92"/>
    </row>
    <row r="309" spans="4:9" x14ac:dyDescent="0.3">
      <c r="F309" s="91"/>
      <c r="I309" s="92"/>
    </row>
    <row r="310" spans="4:9" x14ac:dyDescent="0.3">
      <c r="F310" s="91"/>
      <c r="I310" s="92"/>
    </row>
    <row r="311" spans="4:9" x14ac:dyDescent="0.3">
      <c r="F311" s="91"/>
      <c r="I311" s="92"/>
    </row>
    <row r="312" spans="4:9" x14ac:dyDescent="0.3">
      <c r="F312" s="91"/>
      <c r="I312" s="92"/>
    </row>
    <row r="313" spans="4:9" x14ac:dyDescent="0.3">
      <c r="F313" s="91"/>
      <c r="I313" s="92"/>
    </row>
    <row r="314" spans="4:9" x14ac:dyDescent="0.3">
      <c r="F314" s="91"/>
      <c r="I314" s="93"/>
    </row>
    <row r="315" spans="4:9" x14ac:dyDescent="0.3">
      <c r="F315" s="91"/>
      <c r="I315" s="93"/>
    </row>
    <row r="316" spans="4:9" x14ac:dyDescent="0.3">
      <c r="F316" s="91"/>
      <c r="I316" s="93"/>
    </row>
    <row r="317" spans="4:9" x14ac:dyDescent="0.3">
      <c r="F317" s="91"/>
      <c r="I317" s="93"/>
    </row>
    <row r="318" spans="4:9" x14ac:dyDescent="0.3">
      <c r="F318" s="91"/>
      <c r="I318" s="93"/>
    </row>
    <row r="319" spans="4:9" x14ac:dyDescent="0.3">
      <c r="F319" s="91"/>
      <c r="I319" s="93"/>
    </row>
    <row r="320" spans="4:9" x14ac:dyDescent="0.3">
      <c r="F320" s="91"/>
      <c r="I320" s="93"/>
    </row>
    <row r="321" spans="6:9" x14ac:dyDescent="0.3">
      <c r="F321" s="91"/>
      <c r="I321" s="93"/>
    </row>
    <row r="322" spans="6:9" x14ac:dyDescent="0.3">
      <c r="F322" s="91"/>
      <c r="I322" s="93"/>
    </row>
    <row r="323" spans="6:9" x14ac:dyDescent="0.3">
      <c r="F323" s="91"/>
      <c r="I323" s="93"/>
    </row>
    <row r="324" spans="6:9" x14ac:dyDescent="0.3">
      <c r="F324" s="91"/>
      <c r="I324" s="93"/>
    </row>
    <row r="325" spans="6:9" x14ac:dyDescent="0.3">
      <c r="F325" s="91"/>
      <c r="I325" s="93"/>
    </row>
    <row r="326" spans="6:9" x14ac:dyDescent="0.3">
      <c r="F326" s="91"/>
      <c r="I326" s="93"/>
    </row>
    <row r="327" spans="6:9" x14ac:dyDescent="0.3">
      <c r="F327" s="91"/>
      <c r="I327" s="93"/>
    </row>
    <row r="328" spans="6:9" x14ac:dyDescent="0.3">
      <c r="F328" s="91"/>
      <c r="I328" s="93"/>
    </row>
    <row r="329" spans="6:9" x14ac:dyDescent="0.3">
      <c r="F329" s="91"/>
      <c r="I329" s="93"/>
    </row>
    <row r="330" spans="6:9" x14ac:dyDescent="0.3">
      <c r="F330" s="91"/>
      <c r="I330" s="93"/>
    </row>
    <row r="331" spans="6:9" x14ac:dyDescent="0.3">
      <c r="F331" s="91"/>
      <c r="I331" s="93"/>
    </row>
    <row r="332" spans="6:9" x14ac:dyDescent="0.3">
      <c r="F332" s="91"/>
      <c r="I332" s="93"/>
    </row>
    <row r="333" spans="6:9" x14ac:dyDescent="0.3">
      <c r="F333" s="91"/>
      <c r="I333" s="93"/>
    </row>
    <row r="334" spans="6:9" x14ac:dyDescent="0.3">
      <c r="F334" s="91"/>
      <c r="I334" s="93"/>
    </row>
    <row r="335" spans="6:9" x14ac:dyDescent="0.3">
      <c r="F335" s="91"/>
      <c r="I335" s="93"/>
    </row>
    <row r="336" spans="6:9" x14ac:dyDescent="0.3">
      <c r="F336" s="91"/>
      <c r="I336" s="93"/>
    </row>
    <row r="337" spans="6:9" x14ac:dyDescent="0.3">
      <c r="F337" s="91"/>
      <c r="I337" s="93"/>
    </row>
    <row r="338" spans="6:9" x14ac:dyDescent="0.3">
      <c r="F338" s="91"/>
      <c r="I338" s="93"/>
    </row>
    <row r="339" spans="6:9" x14ac:dyDescent="0.3">
      <c r="F339" s="91"/>
      <c r="I339" s="93"/>
    </row>
    <row r="340" spans="6:9" x14ac:dyDescent="0.3">
      <c r="F340" s="91"/>
      <c r="I340" s="93"/>
    </row>
    <row r="341" spans="6:9" x14ac:dyDescent="0.3">
      <c r="F341" s="91"/>
      <c r="I341" s="93"/>
    </row>
    <row r="342" spans="6:9" x14ac:dyDescent="0.3">
      <c r="F342" s="91"/>
      <c r="I342" s="93"/>
    </row>
    <row r="343" spans="6:9" x14ac:dyDescent="0.3">
      <c r="F343" s="91"/>
      <c r="I343" s="93"/>
    </row>
    <row r="344" spans="6:9" x14ac:dyDescent="0.3">
      <c r="F344" s="91"/>
      <c r="I344" s="93"/>
    </row>
    <row r="345" spans="6:9" x14ac:dyDescent="0.3">
      <c r="F345" s="91"/>
    </row>
    <row r="346" spans="6:9" x14ac:dyDescent="0.3">
      <c r="F346" s="91"/>
    </row>
    <row r="347" spans="6:9" x14ac:dyDescent="0.3">
      <c r="F347" s="91"/>
    </row>
    <row r="348" spans="6:9" x14ac:dyDescent="0.3">
      <c r="F348" s="91"/>
    </row>
    <row r="349" spans="6:9" x14ac:dyDescent="0.3">
      <c r="F349" s="91"/>
    </row>
    <row r="350" spans="6:9" x14ac:dyDescent="0.3">
      <c r="F350" s="91"/>
    </row>
    <row r="351" spans="6:9" x14ac:dyDescent="0.3">
      <c r="F351" s="91"/>
    </row>
    <row r="352" spans="6:9" x14ac:dyDescent="0.3">
      <c r="F352" s="91"/>
    </row>
    <row r="353" spans="6:6" x14ac:dyDescent="0.3">
      <c r="F353" s="91"/>
    </row>
    <row r="354" spans="6:6" x14ac:dyDescent="0.3">
      <c r="F354" s="91"/>
    </row>
    <row r="355" spans="6:6" x14ac:dyDescent="0.3">
      <c r="F355" s="91"/>
    </row>
    <row r="356" spans="6:6" x14ac:dyDescent="0.3">
      <c r="F356" s="91"/>
    </row>
    <row r="357" spans="6:6" x14ac:dyDescent="0.3">
      <c r="F357" s="91"/>
    </row>
    <row r="358" spans="6:6" x14ac:dyDescent="0.3">
      <c r="F358" s="91"/>
    </row>
    <row r="359" spans="6:6" x14ac:dyDescent="0.3">
      <c r="F359" s="91"/>
    </row>
    <row r="360" spans="6:6" x14ac:dyDescent="0.3">
      <c r="F360" s="91"/>
    </row>
    <row r="361" spans="6:6" x14ac:dyDescent="0.3">
      <c r="F361" s="91"/>
    </row>
    <row r="362" spans="6:6" x14ac:dyDescent="0.3">
      <c r="F362" s="91"/>
    </row>
    <row r="363" spans="6:6" x14ac:dyDescent="0.3">
      <c r="F363" s="91"/>
    </row>
    <row r="364" spans="6:6" x14ac:dyDescent="0.3">
      <c r="F364" s="91"/>
    </row>
    <row r="365" spans="6:6" x14ac:dyDescent="0.3">
      <c r="F365" s="91"/>
    </row>
    <row r="366" spans="6:6" x14ac:dyDescent="0.3">
      <c r="F366" s="91"/>
    </row>
    <row r="367" spans="6:6" x14ac:dyDescent="0.3">
      <c r="F367" s="91"/>
    </row>
    <row r="368" spans="6:6" x14ac:dyDescent="0.3">
      <c r="F368" s="91"/>
    </row>
    <row r="369" spans="6:6" x14ac:dyDescent="0.3">
      <c r="F369" s="91"/>
    </row>
    <row r="370" spans="6:6" x14ac:dyDescent="0.3">
      <c r="F370" s="91"/>
    </row>
    <row r="371" spans="6:6" x14ac:dyDescent="0.3">
      <c r="F371" s="91"/>
    </row>
    <row r="372" spans="6:6" x14ac:dyDescent="0.3">
      <c r="F372" s="91"/>
    </row>
    <row r="373" spans="6:6" x14ac:dyDescent="0.3">
      <c r="F373" s="91"/>
    </row>
    <row r="374" spans="6:6" x14ac:dyDescent="0.3">
      <c r="F374" s="91"/>
    </row>
    <row r="375" spans="6:6" x14ac:dyDescent="0.3">
      <c r="F375" s="91"/>
    </row>
    <row r="376" spans="6:6" x14ac:dyDescent="0.3">
      <c r="F376" s="91"/>
    </row>
    <row r="377" spans="6:6" x14ac:dyDescent="0.3">
      <c r="F377" s="91"/>
    </row>
    <row r="378" spans="6:6" x14ac:dyDescent="0.3">
      <c r="F378" s="91"/>
    </row>
    <row r="379" spans="6:6" x14ac:dyDescent="0.3">
      <c r="F379" s="91"/>
    </row>
    <row r="380" spans="6:6" x14ac:dyDescent="0.3">
      <c r="F380" s="91"/>
    </row>
    <row r="381" spans="6:6" x14ac:dyDescent="0.3">
      <c r="F381" s="91"/>
    </row>
    <row r="382" spans="6:6" x14ac:dyDescent="0.3">
      <c r="F382" s="91"/>
    </row>
    <row r="383" spans="6:6" x14ac:dyDescent="0.3">
      <c r="F383" s="91"/>
    </row>
    <row r="384" spans="6:6" x14ac:dyDescent="0.3">
      <c r="F384" s="91"/>
    </row>
    <row r="385" spans="6:6" x14ac:dyDescent="0.3">
      <c r="F385" s="91"/>
    </row>
    <row r="386" spans="6:6" x14ac:dyDescent="0.3">
      <c r="F386" s="91"/>
    </row>
    <row r="387" spans="6:6" x14ac:dyDescent="0.3">
      <c r="F387" s="91"/>
    </row>
    <row r="388" spans="6:6" x14ac:dyDescent="0.3">
      <c r="F388" s="91"/>
    </row>
    <row r="389" spans="6:6" x14ac:dyDescent="0.3">
      <c r="F389" s="91"/>
    </row>
    <row r="390" spans="6:6" x14ac:dyDescent="0.3">
      <c r="F390" s="91"/>
    </row>
    <row r="391" spans="6:6" x14ac:dyDescent="0.3">
      <c r="F391" s="91"/>
    </row>
    <row r="392" spans="6:6" x14ac:dyDescent="0.3">
      <c r="F392" s="91"/>
    </row>
    <row r="393" spans="6:6" x14ac:dyDescent="0.3">
      <c r="F393" s="91"/>
    </row>
    <row r="394" spans="6:6" x14ac:dyDescent="0.3">
      <c r="F394" s="91"/>
    </row>
    <row r="395" spans="6:6" x14ac:dyDescent="0.3">
      <c r="F395" s="91"/>
    </row>
    <row r="396" spans="6:6" x14ac:dyDescent="0.3">
      <c r="F396" s="91"/>
    </row>
    <row r="397" spans="6:6" x14ac:dyDescent="0.3">
      <c r="F397" s="91"/>
    </row>
    <row r="398" spans="6:6" x14ac:dyDescent="0.3">
      <c r="F398" s="91"/>
    </row>
    <row r="399" spans="6:6" x14ac:dyDescent="0.3">
      <c r="F399" s="91"/>
    </row>
    <row r="400" spans="6:6" x14ac:dyDescent="0.3">
      <c r="F400" s="91"/>
    </row>
    <row r="401" spans="6:6" x14ac:dyDescent="0.3">
      <c r="F401" s="91"/>
    </row>
    <row r="402" spans="6:6" x14ac:dyDescent="0.3">
      <c r="F402" s="91"/>
    </row>
    <row r="403" spans="6:6" x14ac:dyDescent="0.3">
      <c r="F403" s="91"/>
    </row>
    <row r="404" spans="6:6" x14ac:dyDescent="0.3">
      <c r="F404" s="91"/>
    </row>
    <row r="405" spans="6:6" x14ac:dyDescent="0.3">
      <c r="F405" s="91"/>
    </row>
    <row r="406" spans="6:6" x14ac:dyDescent="0.3">
      <c r="F406" s="91"/>
    </row>
    <row r="407" spans="6:6" x14ac:dyDescent="0.3">
      <c r="F407" s="91"/>
    </row>
    <row r="408" spans="6:6" x14ac:dyDescent="0.3">
      <c r="F408" s="91"/>
    </row>
    <row r="409" spans="6:6" x14ac:dyDescent="0.3">
      <c r="F409" s="91"/>
    </row>
    <row r="410" spans="6:6" x14ac:dyDescent="0.3">
      <c r="F410" s="91"/>
    </row>
    <row r="411" spans="6:6" x14ac:dyDescent="0.3">
      <c r="F411" s="91"/>
    </row>
    <row r="412" spans="6:6" x14ac:dyDescent="0.3">
      <c r="F412" s="91"/>
    </row>
    <row r="413" spans="6:6" x14ac:dyDescent="0.3">
      <c r="F413" s="91"/>
    </row>
    <row r="414" spans="6:6" x14ac:dyDescent="0.3">
      <c r="F414" s="91"/>
    </row>
    <row r="415" spans="6:6" x14ac:dyDescent="0.3">
      <c r="F415" s="91"/>
    </row>
    <row r="416" spans="6:6" x14ac:dyDescent="0.3">
      <c r="F416" s="91"/>
    </row>
    <row r="417" spans="6:6" x14ac:dyDescent="0.3">
      <c r="F417" s="91"/>
    </row>
    <row r="418" spans="6:6" x14ac:dyDescent="0.3">
      <c r="F418" s="91"/>
    </row>
    <row r="419" spans="6:6" x14ac:dyDescent="0.3">
      <c r="F419" s="91"/>
    </row>
    <row r="420" spans="6:6" x14ac:dyDescent="0.3">
      <c r="F420" s="91"/>
    </row>
    <row r="421" spans="6:6" x14ac:dyDescent="0.3">
      <c r="F421" s="91"/>
    </row>
    <row r="422" spans="6:6" x14ac:dyDescent="0.3">
      <c r="F422" s="91"/>
    </row>
    <row r="423" spans="6:6" x14ac:dyDescent="0.3">
      <c r="F423" s="91"/>
    </row>
    <row r="424" spans="6:6" x14ac:dyDescent="0.3">
      <c r="F424" s="91"/>
    </row>
    <row r="425" spans="6:6" x14ac:dyDescent="0.3">
      <c r="F425" s="91"/>
    </row>
    <row r="426" spans="6:6" x14ac:dyDescent="0.3">
      <c r="F426" s="91"/>
    </row>
    <row r="427" spans="6:6" x14ac:dyDescent="0.3">
      <c r="F427" s="91"/>
    </row>
    <row r="428" spans="6:6" x14ac:dyDescent="0.3">
      <c r="F428" s="91"/>
    </row>
    <row r="429" spans="6:6" x14ac:dyDescent="0.3">
      <c r="F429" s="91"/>
    </row>
    <row r="430" spans="6:6" x14ac:dyDescent="0.3">
      <c r="F430" s="91"/>
    </row>
    <row r="431" spans="6:6" x14ac:dyDescent="0.3">
      <c r="F431" s="91"/>
    </row>
    <row r="432" spans="6:6" x14ac:dyDescent="0.3">
      <c r="F432" s="91"/>
    </row>
    <row r="433" spans="6:6" x14ac:dyDescent="0.3">
      <c r="F433" s="91"/>
    </row>
    <row r="434" spans="6:6" x14ac:dyDescent="0.3">
      <c r="F434" s="91"/>
    </row>
    <row r="435" spans="6:6" x14ac:dyDescent="0.3">
      <c r="F435" s="91"/>
    </row>
    <row r="436" spans="6:6" x14ac:dyDescent="0.3">
      <c r="F436" s="91"/>
    </row>
    <row r="437" spans="6:6" x14ac:dyDescent="0.3">
      <c r="F437" s="91"/>
    </row>
    <row r="438" spans="6:6" x14ac:dyDescent="0.3">
      <c r="F438" s="91"/>
    </row>
    <row r="439" spans="6:6" x14ac:dyDescent="0.3">
      <c r="F439" s="91"/>
    </row>
    <row r="440" spans="6:6" x14ac:dyDescent="0.3">
      <c r="F440" s="91"/>
    </row>
    <row r="441" spans="6:6" x14ac:dyDescent="0.3">
      <c r="F441" s="91"/>
    </row>
    <row r="442" spans="6:6" x14ac:dyDescent="0.3">
      <c r="F442" s="91"/>
    </row>
    <row r="443" spans="6:6" x14ac:dyDescent="0.3">
      <c r="F443" s="91"/>
    </row>
    <row r="444" spans="6:6" x14ac:dyDescent="0.3">
      <c r="F444" s="91"/>
    </row>
    <row r="445" spans="6:6" x14ac:dyDescent="0.3">
      <c r="F445" s="91"/>
    </row>
    <row r="446" spans="6:6" x14ac:dyDescent="0.3">
      <c r="F446" s="91"/>
    </row>
    <row r="447" spans="6:6" x14ac:dyDescent="0.3">
      <c r="F447" s="91"/>
    </row>
    <row r="448" spans="6:6" x14ac:dyDescent="0.3">
      <c r="F448" s="91"/>
    </row>
    <row r="449" spans="6:6" x14ac:dyDescent="0.3">
      <c r="F449" s="91"/>
    </row>
    <row r="450" spans="6:6" x14ac:dyDescent="0.3">
      <c r="F450" s="91"/>
    </row>
    <row r="451" spans="6:6" x14ac:dyDescent="0.3">
      <c r="F451" s="91"/>
    </row>
    <row r="452" spans="6:6" x14ac:dyDescent="0.3">
      <c r="F452" s="91"/>
    </row>
    <row r="453" spans="6:6" x14ac:dyDescent="0.3">
      <c r="F453" s="91"/>
    </row>
    <row r="454" spans="6:6" x14ac:dyDescent="0.3">
      <c r="F454" s="91"/>
    </row>
    <row r="455" spans="6:6" x14ac:dyDescent="0.3">
      <c r="F455" s="91"/>
    </row>
    <row r="456" spans="6:6" x14ac:dyDescent="0.3">
      <c r="F456" s="91"/>
    </row>
    <row r="457" spans="6:6" x14ac:dyDescent="0.3">
      <c r="F457" s="91"/>
    </row>
    <row r="458" spans="6:6" x14ac:dyDescent="0.3">
      <c r="F458" s="91"/>
    </row>
    <row r="459" spans="6:6" x14ac:dyDescent="0.3">
      <c r="F459" s="91"/>
    </row>
    <row r="460" spans="6:6" x14ac:dyDescent="0.3">
      <c r="F460" s="91"/>
    </row>
    <row r="461" spans="6:6" x14ac:dyDescent="0.3">
      <c r="F461" s="91"/>
    </row>
    <row r="462" spans="6:6" x14ac:dyDescent="0.3">
      <c r="F462" s="91"/>
    </row>
    <row r="463" spans="6:6" x14ac:dyDescent="0.3">
      <c r="F463" s="91"/>
    </row>
    <row r="464" spans="6:6" x14ac:dyDescent="0.3">
      <c r="F464" s="91"/>
    </row>
    <row r="465" spans="6:6" x14ac:dyDescent="0.3">
      <c r="F465" s="91"/>
    </row>
    <row r="466" spans="6:6" x14ac:dyDescent="0.3">
      <c r="F466" s="91"/>
    </row>
    <row r="467" spans="6:6" x14ac:dyDescent="0.3">
      <c r="F467" s="91"/>
    </row>
    <row r="468" spans="6:6" x14ac:dyDescent="0.3">
      <c r="F468" s="91"/>
    </row>
    <row r="469" spans="6:6" x14ac:dyDescent="0.3">
      <c r="F469" s="91"/>
    </row>
    <row r="470" spans="6:6" x14ac:dyDescent="0.3">
      <c r="F470" s="91"/>
    </row>
    <row r="471" spans="6:6" x14ac:dyDescent="0.3">
      <c r="F471" s="91"/>
    </row>
    <row r="472" spans="6:6" x14ac:dyDescent="0.3">
      <c r="F472" s="91"/>
    </row>
    <row r="473" spans="6:6" x14ac:dyDescent="0.3">
      <c r="F473" s="91"/>
    </row>
    <row r="474" spans="6:6" x14ac:dyDescent="0.3">
      <c r="F474" s="91"/>
    </row>
    <row r="475" spans="6:6" x14ac:dyDescent="0.3">
      <c r="F475" s="91"/>
    </row>
    <row r="476" spans="6:6" x14ac:dyDescent="0.3">
      <c r="F476" s="91"/>
    </row>
    <row r="477" spans="6:6" x14ac:dyDescent="0.3">
      <c r="F477" s="91"/>
    </row>
    <row r="478" spans="6:6" x14ac:dyDescent="0.3">
      <c r="F478" s="91"/>
    </row>
    <row r="479" spans="6:6" x14ac:dyDescent="0.3">
      <c r="F479" s="91"/>
    </row>
    <row r="480" spans="6:6" x14ac:dyDescent="0.3">
      <c r="F480" s="91"/>
    </row>
    <row r="481" spans="6:6" x14ac:dyDescent="0.3">
      <c r="F481" s="91"/>
    </row>
    <row r="482" spans="6:6" x14ac:dyDescent="0.3">
      <c r="F482" s="91"/>
    </row>
    <row r="483" spans="6:6" x14ac:dyDescent="0.3">
      <c r="F483" s="91"/>
    </row>
    <row r="484" spans="6:6" x14ac:dyDescent="0.3">
      <c r="F484" s="91"/>
    </row>
    <row r="485" spans="6:6" x14ac:dyDescent="0.3">
      <c r="F485" s="91"/>
    </row>
    <row r="486" spans="6:6" x14ac:dyDescent="0.3">
      <c r="F486" s="91"/>
    </row>
    <row r="487" spans="6:6" x14ac:dyDescent="0.3">
      <c r="F487" s="91"/>
    </row>
    <row r="488" spans="6:6" x14ac:dyDescent="0.3">
      <c r="F488" s="91"/>
    </row>
    <row r="489" spans="6:6" x14ac:dyDescent="0.3">
      <c r="F489" s="91"/>
    </row>
    <row r="490" spans="6:6" x14ac:dyDescent="0.3">
      <c r="F490" s="91"/>
    </row>
    <row r="491" spans="6:6" x14ac:dyDescent="0.3">
      <c r="F491" s="91"/>
    </row>
    <row r="492" spans="6:6" x14ac:dyDescent="0.3">
      <c r="F492" s="91"/>
    </row>
    <row r="493" spans="6:6" x14ac:dyDescent="0.3">
      <c r="F493" s="91"/>
    </row>
    <row r="494" spans="6:6" x14ac:dyDescent="0.3">
      <c r="F494" s="91"/>
    </row>
    <row r="495" spans="6:6" x14ac:dyDescent="0.3">
      <c r="F495" s="91"/>
    </row>
    <row r="496" spans="6:6" x14ac:dyDescent="0.3">
      <c r="F496" s="91"/>
    </row>
    <row r="497" spans="6:6" x14ac:dyDescent="0.3">
      <c r="F497" s="91"/>
    </row>
    <row r="498" spans="6:6" x14ac:dyDescent="0.3">
      <c r="F498" s="91"/>
    </row>
    <row r="499" spans="6:6" x14ac:dyDescent="0.3">
      <c r="F499" s="91"/>
    </row>
    <row r="500" spans="6:6" x14ac:dyDescent="0.3">
      <c r="F500" s="91"/>
    </row>
    <row r="501" spans="6:6" x14ac:dyDescent="0.3">
      <c r="F501" s="91"/>
    </row>
    <row r="502" spans="6:6" x14ac:dyDescent="0.3">
      <c r="F502" s="91"/>
    </row>
    <row r="503" spans="6:6" x14ac:dyDescent="0.3">
      <c r="F503" s="91"/>
    </row>
    <row r="504" spans="6:6" x14ac:dyDescent="0.3">
      <c r="F504" s="91"/>
    </row>
    <row r="505" spans="6:6" x14ac:dyDescent="0.3">
      <c r="F505" s="91"/>
    </row>
    <row r="506" spans="6:6" x14ac:dyDescent="0.3">
      <c r="F506" s="91"/>
    </row>
    <row r="507" spans="6:6" x14ac:dyDescent="0.3">
      <c r="F507" s="91"/>
    </row>
    <row r="508" spans="6:6" x14ac:dyDescent="0.3">
      <c r="F508" s="91"/>
    </row>
    <row r="509" spans="6:6" x14ac:dyDescent="0.3">
      <c r="F509" s="91"/>
    </row>
    <row r="510" spans="6:6" x14ac:dyDescent="0.3">
      <c r="F510" s="91"/>
    </row>
    <row r="511" spans="6:6" x14ac:dyDescent="0.3">
      <c r="F511" s="91"/>
    </row>
    <row r="512" spans="6:6" x14ac:dyDescent="0.3">
      <c r="F512" s="91"/>
    </row>
    <row r="513" spans="6:6" x14ac:dyDescent="0.3">
      <c r="F513" s="91"/>
    </row>
    <row r="514" spans="6:6" x14ac:dyDescent="0.3">
      <c r="F514" s="91"/>
    </row>
    <row r="515" spans="6:6" x14ac:dyDescent="0.3">
      <c r="F515" s="91"/>
    </row>
    <row r="516" spans="6:6" x14ac:dyDescent="0.3">
      <c r="F516" s="91"/>
    </row>
    <row r="517" spans="6:6" x14ac:dyDescent="0.3">
      <c r="F517" s="91"/>
    </row>
    <row r="518" spans="6:6" x14ac:dyDescent="0.3">
      <c r="F518" s="91"/>
    </row>
    <row r="519" spans="6:6" x14ac:dyDescent="0.3">
      <c r="F519" s="91"/>
    </row>
    <row r="520" spans="6:6" x14ac:dyDescent="0.3">
      <c r="F520" s="91"/>
    </row>
    <row r="521" spans="6:6" x14ac:dyDescent="0.3">
      <c r="F521" s="91"/>
    </row>
    <row r="522" spans="6:6" x14ac:dyDescent="0.3">
      <c r="F522" s="91"/>
    </row>
    <row r="523" spans="6:6" x14ac:dyDescent="0.3">
      <c r="F523" s="91"/>
    </row>
    <row r="524" spans="6:6" x14ac:dyDescent="0.3">
      <c r="F524" s="91"/>
    </row>
    <row r="525" spans="6:6" x14ac:dyDescent="0.3">
      <c r="F525" s="91"/>
    </row>
    <row r="526" spans="6:6" x14ac:dyDescent="0.3">
      <c r="F526" s="91"/>
    </row>
    <row r="527" spans="6:6" x14ac:dyDescent="0.3">
      <c r="F527" s="91"/>
    </row>
    <row r="528" spans="6:6" x14ac:dyDescent="0.3">
      <c r="F528" s="91"/>
    </row>
    <row r="529" spans="6:6" x14ac:dyDescent="0.3">
      <c r="F529" s="91"/>
    </row>
    <row r="530" spans="6:6" x14ac:dyDescent="0.3">
      <c r="F530" s="91"/>
    </row>
    <row r="531" spans="6:6" x14ac:dyDescent="0.3">
      <c r="F531" s="91"/>
    </row>
    <row r="532" spans="6:6" x14ac:dyDescent="0.3">
      <c r="F532" s="91"/>
    </row>
    <row r="533" spans="6:6" x14ac:dyDescent="0.3">
      <c r="F533" s="91"/>
    </row>
    <row r="534" spans="6:6" x14ac:dyDescent="0.3">
      <c r="F534" s="91"/>
    </row>
    <row r="535" spans="6:6" x14ac:dyDescent="0.3">
      <c r="F535" s="91"/>
    </row>
    <row r="536" spans="6:6" x14ac:dyDescent="0.3">
      <c r="F536" s="91"/>
    </row>
    <row r="537" spans="6:6" x14ac:dyDescent="0.3">
      <c r="F537" s="91"/>
    </row>
    <row r="538" spans="6:6" x14ac:dyDescent="0.3">
      <c r="F538" s="91"/>
    </row>
    <row r="539" spans="6:6" x14ac:dyDescent="0.3">
      <c r="F539" s="91"/>
    </row>
    <row r="540" spans="6:6" x14ac:dyDescent="0.3">
      <c r="F540" s="91"/>
    </row>
    <row r="541" spans="6:6" x14ac:dyDescent="0.3">
      <c r="F541" s="91"/>
    </row>
    <row r="542" spans="6:6" x14ac:dyDescent="0.3">
      <c r="F542" s="91"/>
    </row>
    <row r="543" spans="6:6" x14ac:dyDescent="0.3">
      <c r="F543" s="91"/>
    </row>
    <row r="544" spans="6:6" x14ac:dyDescent="0.3">
      <c r="F544" s="91"/>
    </row>
    <row r="545" spans="6:6" x14ac:dyDescent="0.3">
      <c r="F545" s="91"/>
    </row>
    <row r="546" spans="6:6" x14ac:dyDescent="0.3">
      <c r="F546" s="91"/>
    </row>
    <row r="547" spans="6:6" x14ac:dyDescent="0.3">
      <c r="F547" s="91"/>
    </row>
    <row r="548" spans="6:6" x14ac:dyDescent="0.3">
      <c r="F548" s="91"/>
    </row>
    <row r="549" spans="6:6" x14ac:dyDescent="0.3">
      <c r="F549" s="91"/>
    </row>
    <row r="550" spans="6:6" x14ac:dyDescent="0.3">
      <c r="F550" s="91"/>
    </row>
    <row r="551" spans="6:6" x14ac:dyDescent="0.3">
      <c r="F551" s="91"/>
    </row>
    <row r="552" spans="6:6" x14ac:dyDescent="0.3">
      <c r="F552" s="91"/>
    </row>
    <row r="553" spans="6:6" x14ac:dyDescent="0.3">
      <c r="F553" s="91"/>
    </row>
    <row r="554" spans="6:6" x14ac:dyDescent="0.3">
      <c r="F554" s="91"/>
    </row>
    <row r="555" spans="6:6" x14ac:dyDescent="0.3">
      <c r="F555" s="91"/>
    </row>
    <row r="556" spans="6:6" x14ac:dyDescent="0.3">
      <c r="F556" s="91"/>
    </row>
    <row r="557" spans="6:6" x14ac:dyDescent="0.3">
      <c r="F557" s="91"/>
    </row>
    <row r="558" spans="6:6" x14ac:dyDescent="0.3">
      <c r="F558" s="91"/>
    </row>
    <row r="559" spans="6:6" x14ac:dyDescent="0.3">
      <c r="F559" s="91"/>
    </row>
    <row r="560" spans="6:6" x14ac:dyDescent="0.3">
      <c r="F560" s="91"/>
    </row>
    <row r="561" spans="6:6" x14ac:dyDescent="0.3">
      <c r="F561" s="91"/>
    </row>
    <row r="562" spans="6:6" x14ac:dyDescent="0.3">
      <c r="F562" s="91"/>
    </row>
    <row r="563" spans="6:6" x14ac:dyDescent="0.3">
      <c r="F563" s="91"/>
    </row>
    <row r="564" spans="6:6" x14ac:dyDescent="0.3">
      <c r="F564" s="91"/>
    </row>
    <row r="565" spans="6:6" x14ac:dyDescent="0.3">
      <c r="F565" s="91"/>
    </row>
    <row r="566" spans="6:6" x14ac:dyDescent="0.3">
      <c r="F566" s="91"/>
    </row>
    <row r="567" spans="6:6" x14ac:dyDescent="0.3">
      <c r="F567" s="91"/>
    </row>
    <row r="568" spans="6:6" x14ac:dyDescent="0.3">
      <c r="F568" s="91"/>
    </row>
    <row r="569" spans="6:6" x14ac:dyDescent="0.3">
      <c r="F569" s="91"/>
    </row>
    <row r="570" spans="6:6" x14ac:dyDescent="0.3">
      <c r="F570" s="91"/>
    </row>
    <row r="571" spans="6:6" x14ac:dyDescent="0.3">
      <c r="F571" s="91"/>
    </row>
    <row r="572" spans="6:6" x14ac:dyDescent="0.3">
      <c r="F572" s="91"/>
    </row>
    <row r="573" spans="6:6" x14ac:dyDescent="0.3">
      <c r="F573" s="91"/>
    </row>
    <row r="574" spans="6:6" x14ac:dyDescent="0.3">
      <c r="F574" s="91"/>
    </row>
    <row r="575" spans="6:6" x14ac:dyDescent="0.3">
      <c r="F575" s="91"/>
    </row>
    <row r="576" spans="6:6" x14ac:dyDescent="0.3">
      <c r="F576" s="91"/>
    </row>
    <row r="577" spans="6:6" x14ac:dyDescent="0.3">
      <c r="F577" s="91"/>
    </row>
    <row r="578" spans="6:6" x14ac:dyDescent="0.3">
      <c r="F578" s="91"/>
    </row>
    <row r="579" spans="6:6" x14ac:dyDescent="0.3">
      <c r="F579" s="91"/>
    </row>
    <row r="580" spans="6:6" x14ac:dyDescent="0.3">
      <c r="F580" s="91"/>
    </row>
    <row r="581" spans="6:6" x14ac:dyDescent="0.3">
      <c r="F581" s="91"/>
    </row>
  </sheetData>
  <phoneticPr fontId="2" type="noConversion"/>
  <pageMargins left="0.39370078740157483" right="0" top="0.39370078740157483" bottom="0" header="0" footer="0"/>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E39F5-A6AB-462C-87C7-42AF5A892D8E}">
  <dimension ref="A2:K254"/>
  <sheetViews>
    <sheetView topLeftCell="A130" workbookViewId="0">
      <selection activeCell="F78" sqref="F78"/>
    </sheetView>
  </sheetViews>
  <sheetFormatPr baseColWidth="10" defaultRowHeight="13.2" x14ac:dyDescent="0.25"/>
  <cols>
    <col min="1" max="1" width="33.21875" customWidth="1"/>
    <col min="2" max="2" width="7" customWidth="1"/>
  </cols>
  <sheetData>
    <row r="2" spans="1:8" x14ac:dyDescent="0.25">
      <c r="A2" s="94" t="s">
        <v>0</v>
      </c>
      <c r="B2" s="94" t="s">
        <v>12</v>
      </c>
      <c r="C2" s="94" t="s">
        <v>13</v>
      </c>
      <c r="D2" s="94" t="s">
        <v>288</v>
      </c>
      <c r="E2" s="94" t="s">
        <v>289</v>
      </c>
      <c r="F2" s="94" t="s">
        <v>14</v>
      </c>
      <c r="G2" s="94"/>
      <c r="H2" s="94" t="s">
        <v>17</v>
      </c>
    </row>
    <row r="3" spans="1:8" x14ac:dyDescent="0.25">
      <c r="A3" s="94" t="s">
        <v>36</v>
      </c>
      <c r="B3" s="94"/>
      <c r="C3" s="94"/>
      <c r="D3" s="94"/>
      <c r="E3" s="94"/>
      <c r="F3" s="94"/>
      <c r="G3" s="94"/>
      <c r="H3" s="94"/>
    </row>
    <row r="4" spans="1:8" x14ac:dyDescent="0.25">
      <c r="A4" s="8" t="s">
        <v>37</v>
      </c>
      <c r="B4" s="8" t="s">
        <v>8</v>
      </c>
      <c r="C4" s="8">
        <v>969.19</v>
      </c>
      <c r="D4" s="8"/>
      <c r="E4" s="8">
        <f>C4*D4</f>
        <v>0</v>
      </c>
      <c r="F4" s="8">
        <v>1.6</v>
      </c>
      <c r="G4" s="8">
        <f>E4*F4</f>
        <v>0</v>
      </c>
      <c r="H4" s="8">
        <v>1550</v>
      </c>
    </row>
    <row r="5" spans="1:8" x14ac:dyDescent="0.25">
      <c r="A5" s="8" t="s">
        <v>237</v>
      </c>
      <c r="B5" s="8" t="s">
        <v>8</v>
      </c>
      <c r="C5" s="8">
        <v>1046.72</v>
      </c>
      <c r="D5" s="8"/>
      <c r="E5" s="8">
        <f t="shared" ref="E5:E68" si="0">C5*D5</f>
        <v>0</v>
      </c>
      <c r="F5" s="8">
        <v>1.6</v>
      </c>
      <c r="G5" s="8">
        <f t="shared" ref="G5:G68" si="1">E5*F5</f>
        <v>0</v>
      </c>
      <c r="H5" s="8">
        <v>1680</v>
      </c>
    </row>
    <row r="6" spans="1:8" x14ac:dyDescent="0.25">
      <c r="A6" s="8" t="s">
        <v>266</v>
      </c>
      <c r="B6" s="8" t="s">
        <v>8</v>
      </c>
      <c r="C6" s="8">
        <v>1487.87</v>
      </c>
      <c r="D6" s="8"/>
      <c r="E6" s="8">
        <f t="shared" si="0"/>
        <v>0</v>
      </c>
      <c r="F6" s="8">
        <v>1.6</v>
      </c>
      <c r="G6" s="8">
        <f t="shared" si="1"/>
        <v>0</v>
      </c>
      <c r="H6" s="8">
        <v>2380</v>
      </c>
    </row>
    <row r="7" spans="1:8" x14ac:dyDescent="0.25">
      <c r="A7" s="8" t="s">
        <v>38</v>
      </c>
      <c r="B7" s="8" t="s">
        <v>8</v>
      </c>
      <c r="C7" s="8">
        <v>1850.32</v>
      </c>
      <c r="D7" s="8"/>
      <c r="E7" s="8">
        <f t="shared" si="0"/>
        <v>0</v>
      </c>
      <c r="F7" s="8">
        <v>1.6</v>
      </c>
      <c r="G7" s="8">
        <f t="shared" si="1"/>
        <v>0</v>
      </c>
      <c r="H7" s="8">
        <v>2960</v>
      </c>
    </row>
    <row r="8" spans="1:8" x14ac:dyDescent="0.25">
      <c r="A8" s="8" t="s">
        <v>267</v>
      </c>
      <c r="B8" s="8" t="s">
        <v>8</v>
      </c>
      <c r="C8" s="8">
        <v>2975.74</v>
      </c>
      <c r="D8" s="8"/>
      <c r="E8" s="8">
        <f t="shared" si="0"/>
        <v>0</v>
      </c>
      <c r="F8" s="8">
        <v>1.6</v>
      </c>
      <c r="G8" s="8">
        <f t="shared" si="1"/>
        <v>0</v>
      </c>
      <c r="H8" s="8">
        <v>4770</v>
      </c>
    </row>
    <row r="9" spans="1:8" x14ac:dyDescent="0.25">
      <c r="A9" s="8" t="s">
        <v>39</v>
      </c>
      <c r="B9" s="8" t="s">
        <v>8</v>
      </c>
      <c r="C9" s="8">
        <v>3254.88</v>
      </c>
      <c r="D9" s="8"/>
      <c r="E9" s="8">
        <f t="shared" si="0"/>
        <v>0</v>
      </c>
      <c r="F9" s="8">
        <v>1.6</v>
      </c>
      <c r="G9" s="8">
        <f t="shared" si="1"/>
        <v>0</v>
      </c>
      <c r="H9" s="8">
        <v>5210</v>
      </c>
    </row>
    <row r="10" spans="1:8" x14ac:dyDescent="0.25">
      <c r="A10" s="8" t="s">
        <v>40</v>
      </c>
      <c r="B10" s="8" t="s">
        <v>8</v>
      </c>
      <c r="C10" s="8">
        <v>1850.32</v>
      </c>
      <c r="D10" s="8"/>
      <c r="E10" s="8">
        <f t="shared" si="0"/>
        <v>0</v>
      </c>
      <c r="F10" s="8">
        <v>1.6</v>
      </c>
      <c r="G10" s="8">
        <f t="shared" si="1"/>
        <v>0</v>
      </c>
      <c r="H10" s="8">
        <v>2960</v>
      </c>
    </row>
    <row r="11" spans="1:8" x14ac:dyDescent="0.25">
      <c r="A11" s="8" t="s">
        <v>41</v>
      </c>
      <c r="B11" s="8" t="s">
        <v>8</v>
      </c>
      <c r="C11" s="8">
        <v>3700.64</v>
      </c>
      <c r="D11" s="8"/>
      <c r="E11" s="8">
        <f t="shared" si="0"/>
        <v>0</v>
      </c>
      <c r="F11" s="8">
        <v>1.6</v>
      </c>
      <c r="G11" s="8">
        <f t="shared" si="1"/>
        <v>0</v>
      </c>
      <c r="H11" s="8">
        <v>5930</v>
      </c>
    </row>
    <row r="12" spans="1:8" x14ac:dyDescent="0.25">
      <c r="A12" s="8" t="s">
        <v>42</v>
      </c>
      <c r="B12" s="8" t="s">
        <v>8</v>
      </c>
      <c r="C12" s="8">
        <v>3417.63</v>
      </c>
      <c r="D12" s="8"/>
      <c r="E12" s="8">
        <f t="shared" si="0"/>
        <v>0</v>
      </c>
      <c r="F12" s="8">
        <v>1.6</v>
      </c>
      <c r="G12" s="8">
        <f t="shared" si="1"/>
        <v>0</v>
      </c>
      <c r="H12" s="8">
        <v>5470</v>
      </c>
    </row>
    <row r="13" spans="1:8" x14ac:dyDescent="0.25">
      <c r="A13" s="8" t="s">
        <v>43</v>
      </c>
      <c r="B13" s="8" t="s">
        <v>8</v>
      </c>
      <c r="C13" s="8">
        <v>3830.5</v>
      </c>
      <c r="D13" s="8"/>
      <c r="E13" s="8">
        <f t="shared" si="0"/>
        <v>0</v>
      </c>
      <c r="F13" s="8">
        <v>1.6</v>
      </c>
      <c r="G13" s="8">
        <f t="shared" si="1"/>
        <v>0</v>
      </c>
      <c r="H13" s="8">
        <v>6130</v>
      </c>
    </row>
    <row r="14" spans="1:8" x14ac:dyDescent="0.25">
      <c r="A14" s="8" t="s">
        <v>44</v>
      </c>
      <c r="B14" s="8" t="s">
        <v>8</v>
      </c>
      <c r="C14" s="8">
        <v>5747.69</v>
      </c>
      <c r="D14" s="8"/>
      <c r="E14" s="8">
        <f t="shared" si="0"/>
        <v>0</v>
      </c>
      <c r="F14" s="8">
        <v>1.6</v>
      </c>
      <c r="G14" s="8">
        <f t="shared" si="1"/>
        <v>0</v>
      </c>
      <c r="H14" s="8">
        <v>9200</v>
      </c>
    </row>
    <row r="15" spans="1:8" x14ac:dyDescent="0.25">
      <c r="A15" s="8" t="s">
        <v>45</v>
      </c>
      <c r="B15" s="8" t="s">
        <v>8</v>
      </c>
      <c r="C15" s="8">
        <v>4650.9399999999996</v>
      </c>
      <c r="D15" s="8"/>
      <c r="E15" s="8">
        <f t="shared" si="0"/>
        <v>0</v>
      </c>
      <c r="F15" s="8">
        <v>1.6</v>
      </c>
      <c r="G15" s="8">
        <f t="shared" si="1"/>
        <v>0</v>
      </c>
      <c r="H15" s="8">
        <v>7450</v>
      </c>
    </row>
    <row r="16" spans="1:8" x14ac:dyDescent="0.25">
      <c r="A16" s="128" t="s">
        <v>46</v>
      </c>
      <c r="B16" s="128"/>
      <c r="C16" s="128"/>
      <c r="D16" s="128"/>
      <c r="E16" s="8">
        <f t="shared" si="0"/>
        <v>0</v>
      </c>
      <c r="F16" s="128"/>
      <c r="G16" s="128">
        <f t="shared" si="1"/>
        <v>0</v>
      </c>
      <c r="H16" s="128"/>
    </row>
    <row r="17" spans="1:8" x14ac:dyDescent="0.25">
      <c r="A17" s="8" t="s">
        <v>259</v>
      </c>
      <c r="B17" s="8">
        <v>1</v>
      </c>
      <c r="C17" s="8">
        <v>450.58</v>
      </c>
      <c r="D17" s="8"/>
      <c r="E17" s="8">
        <f t="shared" si="0"/>
        <v>0</v>
      </c>
      <c r="F17" s="8">
        <v>1.6</v>
      </c>
      <c r="G17" s="8">
        <f t="shared" si="1"/>
        <v>0</v>
      </c>
      <c r="H17" s="8">
        <v>730</v>
      </c>
    </row>
    <row r="18" spans="1:8" x14ac:dyDescent="0.25">
      <c r="A18" s="8" t="s">
        <v>48</v>
      </c>
      <c r="B18" s="8">
        <v>1</v>
      </c>
      <c r="C18" s="8">
        <v>512.22</v>
      </c>
      <c r="D18" s="8"/>
      <c r="E18" s="8">
        <f t="shared" si="0"/>
        <v>0</v>
      </c>
      <c r="F18" s="8">
        <v>1.6</v>
      </c>
      <c r="G18" s="8">
        <f t="shared" si="1"/>
        <v>0</v>
      </c>
      <c r="H18" s="8">
        <v>820</v>
      </c>
    </row>
    <row r="19" spans="1:8" x14ac:dyDescent="0.25">
      <c r="A19" s="8" t="s">
        <v>235</v>
      </c>
      <c r="B19" s="8">
        <v>1</v>
      </c>
      <c r="C19" s="8">
        <v>477.99</v>
      </c>
      <c r="D19" s="8"/>
      <c r="E19" s="8">
        <f t="shared" si="0"/>
        <v>0</v>
      </c>
      <c r="F19" s="8">
        <v>1.6</v>
      </c>
      <c r="G19" s="8">
        <f t="shared" si="1"/>
        <v>0</v>
      </c>
      <c r="H19" s="8">
        <v>770</v>
      </c>
    </row>
    <row r="20" spans="1:8" x14ac:dyDescent="0.25">
      <c r="A20" s="8" t="s">
        <v>260</v>
      </c>
      <c r="B20" s="8">
        <v>1</v>
      </c>
      <c r="C20" s="8">
        <v>650.03</v>
      </c>
      <c r="D20" s="8"/>
      <c r="E20" s="8">
        <f t="shared" si="0"/>
        <v>0</v>
      </c>
      <c r="F20" s="8">
        <v>1.6</v>
      </c>
      <c r="G20" s="8">
        <f t="shared" si="1"/>
        <v>0</v>
      </c>
      <c r="H20" s="8">
        <v>1050</v>
      </c>
    </row>
    <row r="21" spans="1:8" x14ac:dyDescent="0.25">
      <c r="A21" s="8" t="s">
        <v>49</v>
      </c>
      <c r="B21" s="8">
        <v>1</v>
      </c>
      <c r="C21" s="8">
        <v>732.63</v>
      </c>
      <c r="D21" s="8"/>
      <c r="E21" s="8">
        <f t="shared" si="0"/>
        <v>0</v>
      </c>
      <c r="F21" s="8">
        <v>1.6</v>
      </c>
      <c r="G21" s="8">
        <f t="shared" si="1"/>
        <v>0</v>
      </c>
      <c r="H21" s="8">
        <v>1180</v>
      </c>
    </row>
    <row r="22" spans="1:8" x14ac:dyDescent="0.25">
      <c r="A22" s="8" t="s">
        <v>50</v>
      </c>
      <c r="B22" s="8">
        <v>1</v>
      </c>
      <c r="C22" s="8">
        <v>1328.75</v>
      </c>
      <c r="D22" s="8"/>
      <c r="E22" s="8">
        <f t="shared" si="0"/>
        <v>0</v>
      </c>
      <c r="F22" s="8">
        <v>1.6</v>
      </c>
      <c r="G22" s="8">
        <f t="shared" si="1"/>
        <v>0</v>
      </c>
      <c r="H22" s="8"/>
    </row>
    <row r="23" spans="1:8" x14ac:dyDescent="0.25">
      <c r="A23" s="8" t="s">
        <v>232</v>
      </c>
      <c r="B23" s="8">
        <v>1</v>
      </c>
      <c r="C23" s="8">
        <v>1250.92</v>
      </c>
      <c r="D23" s="8"/>
      <c r="E23" s="8">
        <f t="shared" si="0"/>
        <v>0</v>
      </c>
      <c r="F23" s="8">
        <v>1.6</v>
      </c>
      <c r="G23" s="8">
        <f t="shared" si="1"/>
        <v>0</v>
      </c>
      <c r="H23" s="8">
        <v>2000</v>
      </c>
    </row>
    <row r="24" spans="1:8" x14ac:dyDescent="0.25">
      <c r="A24" s="8" t="s">
        <v>51</v>
      </c>
      <c r="B24" s="8">
        <v>1</v>
      </c>
      <c r="C24" s="8">
        <v>1258.1199999999999</v>
      </c>
      <c r="D24" s="8"/>
      <c r="E24" s="8">
        <f t="shared" si="0"/>
        <v>0</v>
      </c>
      <c r="F24" s="8">
        <v>1.6</v>
      </c>
      <c r="G24" s="8">
        <f t="shared" si="1"/>
        <v>0</v>
      </c>
      <c r="H24" s="8">
        <v>2020</v>
      </c>
    </row>
    <row r="25" spans="1:8" x14ac:dyDescent="0.25">
      <c r="A25" s="8" t="s">
        <v>52</v>
      </c>
      <c r="B25" s="8">
        <v>1</v>
      </c>
      <c r="C25" s="8">
        <v>1323</v>
      </c>
      <c r="D25" s="8"/>
      <c r="E25" s="8">
        <f t="shared" si="0"/>
        <v>0</v>
      </c>
      <c r="F25" s="8">
        <v>1.6</v>
      </c>
      <c r="G25" s="8">
        <f t="shared" si="1"/>
        <v>0</v>
      </c>
      <c r="H25" s="8">
        <v>2120</v>
      </c>
    </row>
    <row r="26" spans="1:8" x14ac:dyDescent="0.25">
      <c r="A26" s="8" t="s">
        <v>53</v>
      </c>
      <c r="B26" s="8">
        <v>1</v>
      </c>
      <c r="C26" s="8">
        <v>1674.41</v>
      </c>
      <c r="D26" s="8"/>
      <c r="E26" s="8">
        <f t="shared" si="0"/>
        <v>0</v>
      </c>
      <c r="F26" s="8">
        <v>1.6</v>
      </c>
      <c r="G26" s="8">
        <f t="shared" si="1"/>
        <v>0</v>
      </c>
      <c r="H26" s="8">
        <v>2680</v>
      </c>
    </row>
    <row r="27" spans="1:8" x14ac:dyDescent="0.25">
      <c r="A27" s="128" t="s">
        <v>54</v>
      </c>
      <c r="B27" s="128"/>
      <c r="C27" s="128"/>
      <c r="D27" s="128"/>
      <c r="E27" s="8">
        <f t="shared" si="0"/>
        <v>0</v>
      </c>
      <c r="F27" s="128"/>
      <c r="G27" s="128">
        <f t="shared" si="1"/>
        <v>0</v>
      </c>
      <c r="H27" s="128"/>
    </row>
    <row r="28" spans="1:8" x14ac:dyDescent="0.25">
      <c r="A28" s="8" t="s">
        <v>20</v>
      </c>
      <c r="B28" s="8" t="s">
        <v>8</v>
      </c>
      <c r="C28" s="8">
        <v>4224.78</v>
      </c>
      <c r="D28" s="8"/>
      <c r="E28" s="8">
        <f t="shared" si="0"/>
        <v>0</v>
      </c>
      <c r="F28" s="8">
        <v>1.6</v>
      </c>
      <c r="G28" s="8">
        <f t="shared" si="1"/>
        <v>0</v>
      </c>
      <c r="H28" s="8">
        <v>6760</v>
      </c>
    </row>
    <row r="29" spans="1:8" x14ac:dyDescent="0.25">
      <c r="A29" s="8" t="s">
        <v>263</v>
      </c>
      <c r="B29" s="8" t="s">
        <v>8</v>
      </c>
      <c r="C29" s="8">
        <v>2755.69</v>
      </c>
      <c r="D29" s="8"/>
      <c r="E29" s="8">
        <f t="shared" si="0"/>
        <v>0</v>
      </c>
      <c r="F29" s="8">
        <v>1.6</v>
      </c>
      <c r="G29" s="8">
        <f t="shared" si="1"/>
        <v>0</v>
      </c>
      <c r="H29" s="8"/>
    </row>
    <row r="30" spans="1:8" x14ac:dyDescent="0.25">
      <c r="A30" s="8" t="s">
        <v>278</v>
      </c>
      <c r="B30" s="8" t="s">
        <v>8</v>
      </c>
      <c r="C30" s="8">
        <v>3187.37</v>
      </c>
      <c r="D30" s="8"/>
      <c r="E30" s="8">
        <f t="shared" si="0"/>
        <v>0</v>
      </c>
      <c r="F30" s="8">
        <v>1.6</v>
      </c>
      <c r="G30" s="8">
        <f t="shared" si="1"/>
        <v>0</v>
      </c>
      <c r="H30" s="8">
        <v>5100</v>
      </c>
    </row>
    <row r="31" spans="1:8" x14ac:dyDescent="0.25">
      <c r="A31" s="8" t="s">
        <v>238</v>
      </c>
      <c r="B31" s="8" t="s">
        <v>8</v>
      </c>
      <c r="C31" s="8">
        <v>2712.17</v>
      </c>
      <c r="D31" s="8">
        <v>1.21</v>
      </c>
      <c r="E31" s="8">
        <f t="shared" si="0"/>
        <v>3281.7257</v>
      </c>
      <c r="F31" s="8">
        <v>1.6</v>
      </c>
      <c r="G31" s="8">
        <f t="shared" si="1"/>
        <v>5250.7611200000001</v>
      </c>
      <c r="H31" s="8">
        <v>5310</v>
      </c>
    </row>
    <row r="32" spans="1:8" x14ac:dyDescent="0.25">
      <c r="A32" s="8" t="s">
        <v>236</v>
      </c>
      <c r="B32" s="8" t="s">
        <v>8</v>
      </c>
      <c r="C32" s="8">
        <v>3507.21</v>
      </c>
      <c r="D32" s="8"/>
      <c r="E32" s="8">
        <f t="shared" si="0"/>
        <v>0</v>
      </c>
      <c r="F32" s="8">
        <v>1.6</v>
      </c>
      <c r="G32" s="8">
        <f t="shared" si="1"/>
        <v>0</v>
      </c>
      <c r="H32" s="8">
        <v>5620</v>
      </c>
    </row>
    <row r="33" spans="1:8" x14ac:dyDescent="0.25">
      <c r="A33" s="8" t="s">
        <v>55</v>
      </c>
      <c r="B33" s="8">
        <v>1</v>
      </c>
      <c r="C33" s="8"/>
      <c r="D33" s="8"/>
      <c r="E33" s="8">
        <f t="shared" si="0"/>
        <v>0</v>
      </c>
      <c r="F33" s="8">
        <v>1.6</v>
      </c>
      <c r="G33" s="8">
        <f t="shared" si="1"/>
        <v>0</v>
      </c>
      <c r="H33" s="8">
        <v>1000</v>
      </c>
    </row>
    <row r="34" spans="1:8" x14ac:dyDescent="0.25">
      <c r="A34" s="128" t="s">
        <v>56</v>
      </c>
      <c r="B34" s="128"/>
      <c r="C34" s="128"/>
      <c r="D34" s="128"/>
      <c r="E34" s="8">
        <f t="shared" si="0"/>
        <v>0</v>
      </c>
      <c r="F34" s="128"/>
      <c r="G34" s="128">
        <f t="shared" si="1"/>
        <v>0</v>
      </c>
      <c r="H34" s="128"/>
    </row>
    <row r="35" spans="1:8" x14ac:dyDescent="0.25">
      <c r="A35" s="8" t="s">
        <v>57</v>
      </c>
      <c r="B35" s="8">
        <v>1</v>
      </c>
      <c r="C35" s="8">
        <v>404.23</v>
      </c>
      <c r="D35" s="8"/>
      <c r="E35" s="8">
        <f t="shared" si="0"/>
        <v>0</v>
      </c>
      <c r="F35" s="8">
        <v>1.6</v>
      </c>
      <c r="G35" s="8">
        <f t="shared" si="1"/>
        <v>0</v>
      </c>
      <c r="H35" s="8">
        <v>650</v>
      </c>
    </row>
    <row r="36" spans="1:8" x14ac:dyDescent="0.25">
      <c r="A36" s="8" t="s">
        <v>264</v>
      </c>
      <c r="B36" s="8">
        <v>1</v>
      </c>
      <c r="C36" s="8">
        <v>631.04999999999995</v>
      </c>
      <c r="D36" s="8"/>
      <c r="E36" s="8">
        <f t="shared" si="0"/>
        <v>0</v>
      </c>
      <c r="F36" s="8">
        <v>1.6</v>
      </c>
      <c r="G36" s="8">
        <f t="shared" si="1"/>
        <v>0</v>
      </c>
      <c r="H36" s="8">
        <v>1010</v>
      </c>
    </row>
    <row r="37" spans="1:8" x14ac:dyDescent="0.25">
      <c r="A37" s="8" t="s">
        <v>58</v>
      </c>
      <c r="B37" s="8">
        <v>1</v>
      </c>
      <c r="C37" s="8">
        <v>290</v>
      </c>
      <c r="D37" s="8"/>
      <c r="E37" s="8">
        <f t="shared" si="0"/>
        <v>0</v>
      </c>
      <c r="F37" s="8">
        <v>1.6</v>
      </c>
      <c r="G37" s="8">
        <f t="shared" si="1"/>
        <v>0</v>
      </c>
      <c r="H37" s="8">
        <v>470</v>
      </c>
    </row>
    <row r="38" spans="1:8" x14ac:dyDescent="0.25">
      <c r="A38" s="8" t="s">
        <v>59</v>
      </c>
      <c r="B38" s="8">
        <v>1</v>
      </c>
      <c r="C38" s="8">
        <v>380.5</v>
      </c>
      <c r="D38" s="8"/>
      <c r="E38" s="8">
        <f t="shared" si="0"/>
        <v>0</v>
      </c>
      <c r="F38" s="8">
        <v>1.6</v>
      </c>
      <c r="G38" s="8">
        <f t="shared" si="1"/>
        <v>0</v>
      </c>
      <c r="H38" s="8">
        <v>610</v>
      </c>
    </row>
    <row r="39" spans="1:8" x14ac:dyDescent="0.25">
      <c r="A39" s="8" t="s">
        <v>60</v>
      </c>
      <c r="B39" s="8">
        <v>1</v>
      </c>
      <c r="C39" s="8">
        <v>393</v>
      </c>
      <c r="D39" s="8"/>
      <c r="E39" s="8">
        <f t="shared" si="0"/>
        <v>0</v>
      </c>
      <c r="F39" s="8">
        <v>1.6</v>
      </c>
      <c r="G39" s="8">
        <f t="shared" si="1"/>
        <v>0</v>
      </c>
      <c r="H39" s="8">
        <v>630</v>
      </c>
    </row>
    <row r="40" spans="1:8" x14ac:dyDescent="0.25">
      <c r="A40" s="8" t="s">
        <v>61</v>
      </c>
      <c r="B40" s="8">
        <v>1</v>
      </c>
      <c r="C40" s="8">
        <v>63</v>
      </c>
      <c r="D40" s="8"/>
      <c r="E40" s="8">
        <f t="shared" si="0"/>
        <v>0</v>
      </c>
      <c r="F40" s="8">
        <v>1.6</v>
      </c>
      <c r="G40" s="8">
        <f t="shared" si="1"/>
        <v>0</v>
      </c>
      <c r="H40" s="8">
        <v>110</v>
      </c>
    </row>
    <row r="41" spans="1:8" x14ac:dyDescent="0.25">
      <c r="A41" s="8" t="s">
        <v>62</v>
      </c>
      <c r="B41" s="8">
        <v>1</v>
      </c>
      <c r="C41" s="8">
        <v>78.709999999999994</v>
      </c>
      <c r="D41" s="8"/>
      <c r="E41" s="8">
        <f t="shared" si="0"/>
        <v>0</v>
      </c>
      <c r="F41" s="8">
        <v>1.6</v>
      </c>
      <c r="G41" s="8">
        <f t="shared" si="1"/>
        <v>0</v>
      </c>
      <c r="H41" s="8">
        <v>120</v>
      </c>
    </row>
    <row r="42" spans="1:8" x14ac:dyDescent="0.25">
      <c r="A42" s="8" t="s">
        <v>63</v>
      </c>
      <c r="B42" s="8">
        <v>1</v>
      </c>
      <c r="C42" s="8">
        <v>282.14999999999998</v>
      </c>
      <c r="D42" s="8"/>
      <c r="E42" s="8">
        <f t="shared" si="0"/>
        <v>0</v>
      </c>
      <c r="F42" s="8">
        <v>1.6</v>
      </c>
      <c r="G42" s="8">
        <f t="shared" si="1"/>
        <v>0</v>
      </c>
      <c r="H42" s="8">
        <v>460</v>
      </c>
    </row>
    <row r="43" spans="1:8" x14ac:dyDescent="0.25">
      <c r="A43" s="8" t="s">
        <v>64</v>
      </c>
      <c r="B43" s="8">
        <v>1</v>
      </c>
      <c r="C43" s="8">
        <v>2437.16</v>
      </c>
      <c r="D43" s="8"/>
      <c r="E43" s="8">
        <f t="shared" si="0"/>
        <v>0</v>
      </c>
      <c r="F43" s="8">
        <v>1.6</v>
      </c>
      <c r="G43" s="8">
        <f t="shared" si="1"/>
        <v>0</v>
      </c>
      <c r="H43" s="8">
        <v>3900</v>
      </c>
    </row>
    <row r="44" spans="1:8" x14ac:dyDescent="0.25">
      <c r="A44" s="8" t="s">
        <v>65</v>
      </c>
      <c r="B44" s="8">
        <v>1</v>
      </c>
      <c r="C44" s="8">
        <v>797.17</v>
      </c>
      <c r="D44" s="8"/>
      <c r="E44" s="8">
        <f t="shared" si="0"/>
        <v>0</v>
      </c>
      <c r="F44" s="8">
        <v>1.6</v>
      </c>
      <c r="G44" s="8">
        <f t="shared" si="1"/>
        <v>0</v>
      </c>
      <c r="H44" s="8">
        <v>1280</v>
      </c>
    </row>
    <row r="45" spans="1:8" x14ac:dyDescent="0.25">
      <c r="A45" s="8" t="s">
        <v>68</v>
      </c>
      <c r="B45" s="8">
        <v>1</v>
      </c>
      <c r="C45" s="8">
        <v>760</v>
      </c>
      <c r="D45" s="8"/>
      <c r="E45" s="8">
        <f t="shared" si="0"/>
        <v>0</v>
      </c>
      <c r="F45" s="8">
        <v>1.6</v>
      </c>
      <c r="G45" s="8">
        <f t="shared" si="1"/>
        <v>0</v>
      </c>
      <c r="H45" s="8">
        <v>1220</v>
      </c>
    </row>
    <row r="46" spans="1:8" x14ac:dyDescent="0.25">
      <c r="A46" s="8" t="s">
        <v>66</v>
      </c>
      <c r="B46" s="8">
        <v>1</v>
      </c>
      <c r="C46" s="8">
        <v>4912.5</v>
      </c>
      <c r="D46" s="8"/>
      <c r="E46" s="8">
        <f t="shared" si="0"/>
        <v>0</v>
      </c>
      <c r="F46" s="8">
        <v>1.6</v>
      </c>
      <c r="G46" s="8">
        <f t="shared" si="1"/>
        <v>0</v>
      </c>
      <c r="H46" s="8">
        <v>7860</v>
      </c>
    </row>
    <row r="47" spans="1:8" x14ac:dyDescent="0.25">
      <c r="A47" s="8" t="s">
        <v>275</v>
      </c>
      <c r="B47" s="8">
        <v>1</v>
      </c>
      <c r="C47" s="8">
        <v>376.62</v>
      </c>
      <c r="D47" s="8"/>
      <c r="E47" s="8">
        <f t="shared" si="0"/>
        <v>0</v>
      </c>
      <c r="F47" s="8">
        <v>1.6</v>
      </c>
      <c r="G47" s="8">
        <f t="shared" si="1"/>
        <v>0</v>
      </c>
      <c r="H47" s="8">
        <v>610</v>
      </c>
    </row>
    <row r="48" spans="1:8" x14ac:dyDescent="0.25">
      <c r="A48" s="8" t="s">
        <v>276</v>
      </c>
      <c r="B48" s="8">
        <v>1</v>
      </c>
      <c r="C48" s="8">
        <v>681.4</v>
      </c>
      <c r="D48" s="8"/>
      <c r="E48" s="8">
        <f t="shared" si="0"/>
        <v>0</v>
      </c>
      <c r="F48" s="8">
        <v>1.6</v>
      </c>
      <c r="G48" s="8">
        <f t="shared" si="1"/>
        <v>0</v>
      </c>
      <c r="H48" s="8">
        <v>1090</v>
      </c>
    </row>
    <row r="49" spans="1:11" x14ac:dyDescent="0.25">
      <c r="A49" s="8" t="s">
        <v>70</v>
      </c>
      <c r="B49" s="8">
        <v>1</v>
      </c>
      <c r="C49" s="8">
        <v>997.77</v>
      </c>
      <c r="D49" s="8"/>
      <c r="E49" s="8">
        <f t="shared" si="0"/>
        <v>0</v>
      </c>
      <c r="F49" s="8">
        <v>1.6</v>
      </c>
      <c r="G49" s="8">
        <f t="shared" si="1"/>
        <v>0</v>
      </c>
      <c r="H49" s="8">
        <v>1600</v>
      </c>
    </row>
    <row r="50" spans="1:11" x14ac:dyDescent="0.25">
      <c r="A50" s="128" t="s">
        <v>71</v>
      </c>
      <c r="B50" s="128"/>
      <c r="C50" s="128"/>
      <c r="D50" s="128"/>
      <c r="E50" s="8">
        <f t="shared" si="0"/>
        <v>0</v>
      </c>
      <c r="F50" s="128"/>
      <c r="G50" s="128">
        <f t="shared" si="1"/>
        <v>0</v>
      </c>
      <c r="H50" s="128"/>
      <c r="K50">
        <f>57650.47/5</f>
        <v>11530.094000000001</v>
      </c>
    </row>
    <row r="51" spans="1:11" x14ac:dyDescent="0.25">
      <c r="A51" s="8" t="s">
        <v>72</v>
      </c>
      <c r="B51" s="8">
        <v>100</v>
      </c>
      <c r="C51" s="8">
        <v>4525.92</v>
      </c>
      <c r="D51" s="8"/>
      <c r="E51" s="8">
        <f t="shared" si="0"/>
        <v>0</v>
      </c>
      <c r="F51" s="8">
        <v>1.6</v>
      </c>
      <c r="G51" s="8">
        <f t="shared" si="1"/>
        <v>0</v>
      </c>
      <c r="H51" s="8">
        <v>7250</v>
      </c>
    </row>
    <row r="52" spans="1:11" x14ac:dyDescent="0.25">
      <c r="A52" s="8" t="s">
        <v>73</v>
      </c>
      <c r="B52" s="8">
        <v>100</v>
      </c>
      <c r="C52" s="8">
        <v>6174</v>
      </c>
      <c r="D52" s="8"/>
      <c r="E52" s="8">
        <f t="shared" si="0"/>
        <v>0</v>
      </c>
      <c r="F52" s="8">
        <v>1.6</v>
      </c>
      <c r="G52" s="8">
        <f t="shared" si="1"/>
        <v>0</v>
      </c>
      <c r="H52" s="8">
        <v>9880</v>
      </c>
    </row>
    <row r="53" spans="1:11" x14ac:dyDescent="0.25">
      <c r="A53" s="8" t="s">
        <v>74</v>
      </c>
      <c r="B53" s="8">
        <v>1</v>
      </c>
      <c r="C53" s="8">
        <v>837.09</v>
      </c>
      <c r="D53" s="8"/>
      <c r="E53" s="8">
        <f t="shared" si="0"/>
        <v>0</v>
      </c>
      <c r="F53" s="8">
        <v>1.6</v>
      </c>
      <c r="G53" s="8">
        <f t="shared" si="1"/>
        <v>0</v>
      </c>
      <c r="H53" s="8">
        <v>1350</v>
      </c>
    </row>
    <row r="54" spans="1:11" x14ac:dyDescent="0.25">
      <c r="A54" s="128" t="s">
        <v>75</v>
      </c>
      <c r="B54" s="128"/>
      <c r="C54" s="128"/>
      <c r="D54" s="128"/>
      <c r="E54" s="8">
        <f t="shared" si="0"/>
        <v>0</v>
      </c>
      <c r="F54" s="128"/>
      <c r="G54" s="128">
        <f t="shared" si="1"/>
        <v>0</v>
      </c>
      <c r="H54" s="128"/>
    </row>
    <row r="55" spans="1:11" x14ac:dyDescent="0.25">
      <c r="A55" s="8" t="s">
        <v>76</v>
      </c>
      <c r="B55" s="8">
        <v>100</v>
      </c>
      <c r="C55" s="8">
        <v>247.74</v>
      </c>
      <c r="D55" s="8">
        <v>1.21</v>
      </c>
      <c r="E55" s="8">
        <f t="shared" si="0"/>
        <v>299.7654</v>
      </c>
      <c r="F55" s="8">
        <v>1.6</v>
      </c>
      <c r="G55" s="8">
        <f t="shared" si="1"/>
        <v>479.62464</v>
      </c>
      <c r="H55" s="8">
        <v>510</v>
      </c>
    </row>
    <row r="56" spans="1:11" x14ac:dyDescent="0.25">
      <c r="A56" s="8" t="s">
        <v>77</v>
      </c>
      <c r="B56" s="8">
        <v>100</v>
      </c>
      <c r="C56" s="8">
        <v>289.81</v>
      </c>
      <c r="D56" s="8">
        <v>1.21</v>
      </c>
      <c r="E56" s="8">
        <f t="shared" si="0"/>
        <v>350.67009999999999</v>
      </c>
      <c r="F56" s="8">
        <v>1.6</v>
      </c>
      <c r="G56" s="8">
        <f t="shared" si="1"/>
        <v>561.07216000000005</v>
      </c>
      <c r="H56" s="8">
        <v>600</v>
      </c>
    </row>
    <row r="57" spans="1:11" x14ac:dyDescent="0.25">
      <c r="A57" s="8" t="s">
        <v>78</v>
      </c>
      <c r="B57" s="8">
        <v>100</v>
      </c>
      <c r="C57" s="8">
        <v>318</v>
      </c>
      <c r="D57" s="8">
        <v>1.21</v>
      </c>
      <c r="E57" s="8">
        <f t="shared" si="0"/>
        <v>384.78</v>
      </c>
      <c r="F57" s="8">
        <v>1.6</v>
      </c>
      <c r="G57" s="8">
        <f t="shared" si="1"/>
        <v>615.64800000000002</v>
      </c>
      <c r="H57" s="8">
        <v>660</v>
      </c>
    </row>
    <row r="58" spans="1:11" x14ac:dyDescent="0.25">
      <c r="A58" s="8" t="s">
        <v>79</v>
      </c>
      <c r="B58" s="8">
        <v>100</v>
      </c>
      <c r="C58" s="8">
        <v>472.27</v>
      </c>
      <c r="D58" s="8">
        <v>1.21</v>
      </c>
      <c r="E58" s="8">
        <f t="shared" si="0"/>
        <v>571.44669999999996</v>
      </c>
      <c r="F58" s="8">
        <v>1.6</v>
      </c>
      <c r="G58" s="8">
        <f t="shared" si="1"/>
        <v>914.31471999999997</v>
      </c>
      <c r="H58" s="8">
        <v>970</v>
      </c>
    </row>
    <row r="59" spans="1:11" x14ac:dyDescent="0.25">
      <c r="A59" s="8" t="s">
        <v>80</v>
      </c>
      <c r="B59" s="8">
        <v>100</v>
      </c>
      <c r="C59" s="8">
        <v>676.26</v>
      </c>
      <c r="D59" s="8">
        <v>1.21</v>
      </c>
      <c r="E59" s="8">
        <f t="shared" si="0"/>
        <v>818.27459999999996</v>
      </c>
      <c r="F59" s="8">
        <v>1.6</v>
      </c>
      <c r="G59" s="8">
        <f t="shared" si="1"/>
        <v>1309.23936</v>
      </c>
      <c r="H59" s="8">
        <v>1390</v>
      </c>
    </row>
    <row r="60" spans="1:11" x14ac:dyDescent="0.25">
      <c r="A60" s="8" t="s">
        <v>81</v>
      </c>
      <c r="B60" s="8">
        <v>100</v>
      </c>
      <c r="C60" s="8">
        <v>901.77</v>
      </c>
      <c r="D60" s="8">
        <v>1.21</v>
      </c>
      <c r="E60" s="8">
        <f t="shared" si="0"/>
        <v>1091.1416999999999</v>
      </c>
      <c r="F60" s="8">
        <v>1.6</v>
      </c>
      <c r="G60" s="8">
        <f t="shared" si="1"/>
        <v>1745.82672</v>
      </c>
      <c r="H60" s="8">
        <v>1860</v>
      </c>
    </row>
    <row r="61" spans="1:11" x14ac:dyDescent="0.25">
      <c r="A61" s="8" t="s">
        <v>82</v>
      </c>
      <c r="B61" s="8">
        <v>100</v>
      </c>
      <c r="C61" s="8">
        <v>1153.01</v>
      </c>
      <c r="D61" s="8">
        <v>1.21</v>
      </c>
      <c r="E61" s="8">
        <f t="shared" si="0"/>
        <v>1395.1421</v>
      </c>
      <c r="F61" s="8">
        <v>1.6</v>
      </c>
      <c r="G61" s="8">
        <f t="shared" si="1"/>
        <v>2232.2273600000003</v>
      </c>
      <c r="H61" s="8">
        <v>2370</v>
      </c>
    </row>
    <row r="62" spans="1:11" x14ac:dyDescent="0.25">
      <c r="A62" s="8" t="s">
        <v>83</v>
      </c>
      <c r="B62" s="8">
        <v>100</v>
      </c>
      <c r="C62" s="8">
        <v>1631.27</v>
      </c>
      <c r="D62" s="8">
        <v>1.21</v>
      </c>
      <c r="E62" s="8">
        <f t="shared" si="0"/>
        <v>1973.8366999999998</v>
      </c>
      <c r="F62" s="8">
        <v>1.6</v>
      </c>
      <c r="G62" s="8">
        <f t="shared" si="1"/>
        <v>3158.1387199999999</v>
      </c>
      <c r="H62" s="8">
        <v>2460</v>
      </c>
    </row>
    <row r="63" spans="1:11" x14ac:dyDescent="0.25">
      <c r="A63" s="128" t="s">
        <v>84</v>
      </c>
      <c r="B63" s="128"/>
      <c r="C63" s="128"/>
      <c r="D63" s="128"/>
      <c r="E63" s="8">
        <f t="shared" si="0"/>
        <v>0</v>
      </c>
      <c r="F63" s="128"/>
      <c r="G63" s="128">
        <f t="shared" si="1"/>
        <v>0</v>
      </c>
      <c r="H63" s="128"/>
    </row>
    <row r="64" spans="1:11" x14ac:dyDescent="0.25">
      <c r="A64" s="8" t="s">
        <v>85</v>
      </c>
      <c r="B64" s="8">
        <v>1</v>
      </c>
      <c r="C64" s="8">
        <v>1292.25</v>
      </c>
      <c r="D64" s="8"/>
      <c r="E64" s="8">
        <f t="shared" si="0"/>
        <v>0</v>
      </c>
      <c r="F64" s="8">
        <v>1.6</v>
      </c>
      <c r="G64" s="8">
        <f t="shared" si="1"/>
        <v>0</v>
      </c>
      <c r="H64" s="8">
        <v>2070</v>
      </c>
    </row>
    <row r="65" spans="1:8" x14ac:dyDescent="0.25">
      <c r="A65" s="8" t="s">
        <v>86</v>
      </c>
      <c r="B65" s="8">
        <v>1</v>
      </c>
      <c r="C65" s="8">
        <v>1815.56</v>
      </c>
      <c r="D65" s="8"/>
      <c r="E65" s="8">
        <f t="shared" si="0"/>
        <v>0</v>
      </c>
      <c r="F65" s="8">
        <v>1.6</v>
      </c>
      <c r="G65" s="8">
        <f t="shared" si="1"/>
        <v>0</v>
      </c>
      <c r="H65" s="8">
        <v>2910</v>
      </c>
    </row>
    <row r="66" spans="1:8" x14ac:dyDescent="0.25">
      <c r="A66" s="8" t="s">
        <v>87</v>
      </c>
      <c r="B66" s="8">
        <v>1</v>
      </c>
      <c r="C66" s="8">
        <v>2286.2800000000002</v>
      </c>
      <c r="D66" s="8"/>
      <c r="E66" s="8">
        <f t="shared" si="0"/>
        <v>0</v>
      </c>
      <c r="F66" s="8">
        <v>1.6</v>
      </c>
      <c r="G66" s="8">
        <f t="shared" si="1"/>
        <v>0</v>
      </c>
      <c r="H66" s="8">
        <v>3660</v>
      </c>
    </row>
    <row r="67" spans="1:8" x14ac:dyDescent="0.25">
      <c r="A67" s="8" t="s">
        <v>88</v>
      </c>
      <c r="B67" s="8">
        <v>1</v>
      </c>
      <c r="C67" s="8">
        <v>2961.25</v>
      </c>
      <c r="D67" s="8"/>
      <c r="E67" s="8">
        <f t="shared" si="0"/>
        <v>0</v>
      </c>
      <c r="F67" s="8">
        <v>1.6</v>
      </c>
      <c r="G67" s="8">
        <f t="shared" si="1"/>
        <v>0</v>
      </c>
      <c r="H67" s="8">
        <v>4740</v>
      </c>
    </row>
    <row r="68" spans="1:8" x14ac:dyDescent="0.25">
      <c r="A68" s="8" t="s">
        <v>89</v>
      </c>
      <c r="B68" s="8">
        <v>1</v>
      </c>
      <c r="C68" s="8">
        <v>3422.31</v>
      </c>
      <c r="D68" s="8"/>
      <c r="E68" s="8">
        <f t="shared" si="0"/>
        <v>0</v>
      </c>
      <c r="F68" s="8">
        <v>1.6</v>
      </c>
      <c r="G68" s="8">
        <f t="shared" si="1"/>
        <v>0</v>
      </c>
      <c r="H68" s="8">
        <v>5480</v>
      </c>
    </row>
    <row r="69" spans="1:8" x14ac:dyDescent="0.25">
      <c r="A69" s="8" t="s">
        <v>90</v>
      </c>
      <c r="B69" s="8">
        <v>1</v>
      </c>
      <c r="C69" s="8">
        <v>2585.77</v>
      </c>
      <c r="D69" s="8"/>
      <c r="E69" s="8">
        <f t="shared" ref="E69:E132" si="2">C69*D69</f>
        <v>0</v>
      </c>
      <c r="F69" s="8">
        <v>1.6</v>
      </c>
      <c r="G69" s="8">
        <f t="shared" ref="G69:G133" si="3">E69*F69</f>
        <v>0</v>
      </c>
      <c r="H69" s="8">
        <v>4140</v>
      </c>
    </row>
    <row r="70" spans="1:8" x14ac:dyDescent="0.25">
      <c r="A70" s="128" t="s">
        <v>91</v>
      </c>
      <c r="B70" s="128"/>
      <c r="C70" s="128"/>
      <c r="D70" s="128"/>
      <c r="E70" s="8">
        <f t="shared" si="2"/>
        <v>0</v>
      </c>
      <c r="F70" s="128"/>
      <c r="G70" s="128">
        <f t="shared" si="3"/>
        <v>0</v>
      </c>
      <c r="H70" s="128"/>
    </row>
    <row r="71" spans="1:8" x14ac:dyDescent="0.25">
      <c r="A71" s="8" t="s">
        <v>92</v>
      </c>
      <c r="B71" s="8">
        <v>100</v>
      </c>
      <c r="C71" s="8">
        <v>280.77</v>
      </c>
      <c r="D71" s="8"/>
      <c r="E71" s="8">
        <f t="shared" si="2"/>
        <v>0</v>
      </c>
      <c r="F71" s="8">
        <v>1.6</v>
      </c>
      <c r="G71" s="8">
        <f t="shared" si="3"/>
        <v>0</v>
      </c>
      <c r="H71" s="8">
        <v>450</v>
      </c>
    </row>
    <row r="72" spans="1:8" x14ac:dyDescent="0.25">
      <c r="A72" s="8" t="s">
        <v>93</v>
      </c>
      <c r="B72" s="8">
        <v>100</v>
      </c>
      <c r="C72" s="8">
        <v>388.82</v>
      </c>
      <c r="D72" s="8"/>
      <c r="E72" s="8">
        <f t="shared" si="2"/>
        <v>0</v>
      </c>
      <c r="F72" s="8">
        <v>1.6</v>
      </c>
      <c r="G72" s="8">
        <f t="shared" si="3"/>
        <v>0</v>
      </c>
      <c r="H72" s="8">
        <v>630</v>
      </c>
    </row>
    <row r="73" spans="1:8" x14ac:dyDescent="0.25">
      <c r="A73" s="8" t="s">
        <v>94</v>
      </c>
      <c r="B73" s="8">
        <v>100</v>
      </c>
      <c r="C73" s="8">
        <v>298.77999999999997</v>
      </c>
      <c r="D73" s="8"/>
      <c r="E73" s="8">
        <f t="shared" si="2"/>
        <v>0</v>
      </c>
      <c r="F73" s="8">
        <v>1.6</v>
      </c>
      <c r="G73" s="8">
        <f t="shared" si="3"/>
        <v>0</v>
      </c>
      <c r="H73" s="8">
        <v>480</v>
      </c>
    </row>
    <row r="74" spans="1:8" x14ac:dyDescent="0.25">
      <c r="A74" s="8" t="s">
        <v>3</v>
      </c>
      <c r="B74" s="8">
        <v>100</v>
      </c>
      <c r="C74" s="8">
        <v>424.51</v>
      </c>
      <c r="D74" s="8"/>
      <c r="E74" s="8">
        <f t="shared" si="2"/>
        <v>0</v>
      </c>
      <c r="F74" s="8">
        <v>1.6</v>
      </c>
      <c r="G74" s="8">
        <f t="shared" si="3"/>
        <v>0</v>
      </c>
      <c r="H74" s="8">
        <v>680</v>
      </c>
    </row>
    <row r="75" spans="1:8" x14ac:dyDescent="0.25">
      <c r="A75" s="8" t="s">
        <v>9</v>
      </c>
      <c r="B75" s="8">
        <v>100</v>
      </c>
      <c r="C75" s="8">
        <v>537.1</v>
      </c>
      <c r="D75" s="8"/>
      <c r="E75" s="8">
        <f t="shared" si="2"/>
        <v>0</v>
      </c>
      <c r="F75" s="8">
        <v>1.6</v>
      </c>
      <c r="G75" s="8">
        <f t="shared" si="3"/>
        <v>0</v>
      </c>
      <c r="H75" s="8">
        <v>860</v>
      </c>
    </row>
    <row r="76" spans="1:8" x14ac:dyDescent="0.25">
      <c r="A76" s="8" t="s">
        <v>15</v>
      </c>
      <c r="B76" s="8">
        <v>100</v>
      </c>
      <c r="C76" s="8">
        <v>762.14</v>
      </c>
      <c r="D76" s="8"/>
      <c r="E76" s="8">
        <f t="shared" si="2"/>
        <v>0</v>
      </c>
      <c r="F76" s="8">
        <v>1.6</v>
      </c>
      <c r="G76" s="8">
        <f t="shared" si="3"/>
        <v>0</v>
      </c>
      <c r="H76" s="8">
        <v>1220</v>
      </c>
    </row>
    <row r="77" spans="1:8" x14ac:dyDescent="0.25">
      <c r="A77" s="8" t="s">
        <v>18</v>
      </c>
      <c r="B77" s="8">
        <v>100</v>
      </c>
      <c r="C77" s="8">
        <v>1268.5999999999999</v>
      </c>
      <c r="D77" s="8"/>
      <c r="E77" s="8">
        <f t="shared" si="2"/>
        <v>0</v>
      </c>
      <c r="F77" s="8">
        <v>1.6</v>
      </c>
      <c r="G77" s="8">
        <f t="shared" si="3"/>
        <v>0</v>
      </c>
      <c r="H77" s="8">
        <v>2030</v>
      </c>
    </row>
    <row r="78" spans="1:8" x14ac:dyDescent="0.25">
      <c r="A78" s="8" t="s">
        <v>1</v>
      </c>
      <c r="B78" s="8">
        <v>100</v>
      </c>
      <c r="C78" s="8">
        <v>1366.91</v>
      </c>
      <c r="D78" s="8"/>
      <c r="E78" s="8">
        <v>1246.1400000000001</v>
      </c>
      <c r="F78" s="8">
        <v>1.6</v>
      </c>
      <c r="G78" s="8">
        <f t="shared" si="3"/>
        <v>1993.8240000000003</v>
      </c>
      <c r="H78" s="8">
        <v>2190</v>
      </c>
    </row>
    <row r="79" spans="1:8" x14ac:dyDescent="0.25">
      <c r="A79" s="8" t="s">
        <v>268</v>
      </c>
      <c r="B79" s="8">
        <v>100</v>
      </c>
      <c r="C79" s="8">
        <v>1781.43</v>
      </c>
      <c r="D79" s="8"/>
      <c r="E79" s="8">
        <f t="shared" si="2"/>
        <v>0</v>
      </c>
      <c r="F79" s="8">
        <v>1.6</v>
      </c>
      <c r="G79" s="8">
        <f t="shared" si="3"/>
        <v>0</v>
      </c>
      <c r="H79" s="8">
        <v>2850</v>
      </c>
    </row>
    <row r="80" spans="1:8" x14ac:dyDescent="0.25">
      <c r="A80" s="8" t="s">
        <v>7</v>
      </c>
      <c r="B80" s="8">
        <v>100</v>
      </c>
      <c r="C80" s="8">
        <v>1943</v>
      </c>
      <c r="D80" s="8"/>
      <c r="E80" s="8">
        <f t="shared" si="2"/>
        <v>0</v>
      </c>
      <c r="F80" s="8">
        <v>1.6</v>
      </c>
      <c r="G80" s="8">
        <f t="shared" si="3"/>
        <v>0</v>
      </c>
      <c r="H80" s="8">
        <v>3110</v>
      </c>
    </row>
    <row r="81" spans="1:8" x14ac:dyDescent="0.25">
      <c r="A81" s="8" t="s">
        <v>2</v>
      </c>
      <c r="B81" s="8">
        <v>100</v>
      </c>
      <c r="C81" s="8">
        <v>2623.82</v>
      </c>
      <c r="D81" s="8"/>
      <c r="E81" s="8">
        <f t="shared" si="2"/>
        <v>0</v>
      </c>
      <c r="F81" s="8">
        <v>1.6</v>
      </c>
      <c r="G81" s="8">
        <f t="shared" si="3"/>
        <v>0</v>
      </c>
      <c r="H81" s="8">
        <v>4200</v>
      </c>
    </row>
    <row r="82" spans="1:8" x14ac:dyDescent="0.25">
      <c r="A82" s="8" t="s">
        <v>5</v>
      </c>
      <c r="B82" s="8">
        <v>100</v>
      </c>
      <c r="C82" s="8">
        <v>3424.71</v>
      </c>
      <c r="D82" s="8"/>
      <c r="E82" s="8">
        <f t="shared" si="2"/>
        <v>0</v>
      </c>
      <c r="F82" s="8">
        <v>1.6</v>
      </c>
      <c r="G82" s="8">
        <f t="shared" si="3"/>
        <v>0</v>
      </c>
      <c r="H82" s="8">
        <v>5480</v>
      </c>
    </row>
    <row r="83" spans="1:8" x14ac:dyDescent="0.25">
      <c r="A83" s="8" t="s">
        <v>4</v>
      </c>
      <c r="B83" s="8">
        <v>100</v>
      </c>
      <c r="C83" s="8">
        <v>4315.0200000000004</v>
      </c>
      <c r="D83" s="8"/>
      <c r="E83" s="8">
        <f t="shared" si="2"/>
        <v>0</v>
      </c>
      <c r="F83" s="8">
        <v>1.6</v>
      </c>
      <c r="G83" s="8">
        <f t="shared" si="3"/>
        <v>0</v>
      </c>
      <c r="H83" s="8">
        <v>6910</v>
      </c>
    </row>
    <row r="84" spans="1:8" x14ac:dyDescent="0.25">
      <c r="A84" s="8" t="s">
        <v>95</v>
      </c>
      <c r="B84" s="8">
        <v>100</v>
      </c>
      <c r="C84" s="8">
        <v>3296.79</v>
      </c>
      <c r="D84" s="8"/>
      <c r="E84" s="8">
        <f t="shared" si="2"/>
        <v>0</v>
      </c>
      <c r="F84" s="8">
        <v>1.6</v>
      </c>
      <c r="G84" s="8">
        <f t="shared" si="3"/>
        <v>0</v>
      </c>
      <c r="H84" s="8">
        <v>5280</v>
      </c>
    </row>
    <row r="85" spans="1:8" x14ac:dyDescent="0.25">
      <c r="A85" s="8" t="s">
        <v>96</v>
      </c>
      <c r="B85" s="8">
        <v>100</v>
      </c>
      <c r="C85" s="8">
        <v>4338.41</v>
      </c>
      <c r="D85" s="8"/>
      <c r="E85" s="8">
        <f t="shared" si="2"/>
        <v>0</v>
      </c>
      <c r="F85" s="8">
        <v>1.6</v>
      </c>
      <c r="G85" s="8">
        <f t="shared" si="3"/>
        <v>0</v>
      </c>
      <c r="H85" s="8">
        <v>6950</v>
      </c>
    </row>
    <row r="86" spans="1:8" x14ac:dyDescent="0.25">
      <c r="A86" s="128" t="s">
        <v>279</v>
      </c>
      <c r="B86" s="128"/>
      <c r="C86" s="128"/>
      <c r="D86" s="128"/>
      <c r="E86" s="8">
        <f t="shared" si="2"/>
        <v>0</v>
      </c>
      <c r="F86" s="128"/>
      <c r="G86" s="128">
        <f t="shared" si="3"/>
        <v>0</v>
      </c>
      <c r="H86" s="128"/>
    </row>
    <row r="87" spans="1:8" x14ac:dyDescent="0.25">
      <c r="A87" s="8" t="s">
        <v>280</v>
      </c>
      <c r="B87" s="8">
        <v>100</v>
      </c>
      <c r="C87" s="8">
        <v>2842.44</v>
      </c>
      <c r="D87" s="8"/>
      <c r="E87" s="8">
        <f t="shared" si="2"/>
        <v>0</v>
      </c>
      <c r="F87" s="8">
        <v>1.6</v>
      </c>
      <c r="G87" s="8">
        <f t="shared" si="3"/>
        <v>0</v>
      </c>
      <c r="H87" s="8">
        <v>4550</v>
      </c>
    </row>
    <row r="88" spans="1:8" x14ac:dyDescent="0.25">
      <c r="A88" s="8" t="s">
        <v>286</v>
      </c>
      <c r="B88" s="8">
        <v>100</v>
      </c>
      <c r="C88" s="8">
        <v>4326.88</v>
      </c>
      <c r="D88" s="8"/>
      <c r="E88" s="8">
        <f t="shared" si="2"/>
        <v>0</v>
      </c>
      <c r="F88" s="8">
        <v>1.6</v>
      </c>
      <c r="G88" s="8">
        <f t="shared" si="3"/>
        <v>0</v>
      </c>
      <c r="H88" s="8">
        <v>6930</v>
      </c>
    </row>
    <row r="89" spans="1:8" x14ac:dyDescent="0.25">
      <c r="A89" s="8" t="s">
        <v>281</v>
      </c>
      <c r="B89" s="8">
        <v>100</v>
      </c>
      <c r="C89" s="8">
        <v>5782.96</v>
      </c>
      <c r="D89" s="8"/>
      <c r="E89" s="8">
        <f t="shared" si="2"/>
        <v>0</v>
      </c>
      <c r="F89" s="8">
        <v>1.6</v>
      </c>
      <c r="G89" s="8">
        <f t="shared" si="3"/>
        <v>0</v>
      </c>
      <c r="H89" s="8">
        <v>9260</v>
      </c>
    </row>
    <row r="90" spans="1:8" x14ac:dyDescent="0.25">
      <c r="A90" s="128" t="s">
        <v>282</v>
      </c>
      <c r="B90" s="128"/>
      <c r="C90" s="128"/>
      <c r="D90" s="128"/>
      <c r="E90" s="8">
        <f t="shared" si="2"/>
        <v>0</v>
      </c>
      <c r="F90" s="128"/>
      <c r="G90" s="128">
        <f t="shared" si="3"/>
        <v>0</v>
      </c>
      <c r="H90" s="128"/>
    </row>
    <row r="91" spans="1:8" x14ac:dyDescent="0.25">
      <c r="A91" s="8" t="s">
        <v>286</v>
      </c>
      <c r="B91" s="8">
        <v>100</v>
      </c>
      <c r="C91" s="8">
        <v>2999.73</v>
      </c>
      <c r="D91" s="8"/>
      <c r="E91" s="8">
        <f t="shared" si="2"/>
        <v>0</v>
      </c>
      <c r="F91" s="8">
        <v>1.6</v>
      </c>
      <c r="G91" s="8">
        <f t="shared" si="3"/>
        <v>0</v>
      </c>
      <c r="H91" s="8">
        <v>4800</v>
      </c>
    </row>
    <row r="92" spans="1:8" x14ac:dyDescent="0.25">
      <c r="A92" s="8" t="s">
        <v>290</v>
      </c>
      <c r="B92" s="8">
        <v>100</v>
      </c>
      <c r="C92" s="8"/>
      <c r="D92" s="8"/>
      <c r="E92" s="8">
        <f t="shared" si="2"/>
        <v>0</v>
      </c>
      <c r="F92" s="8">
        <v>1.6</v>
      </c>
      <c r="G92" s="8">
        <f t="shared" si="3"/>
        <v>0</v>
      </c>
      <c r="H92" s="8"/>
    </row>
    <row r="93" spans="1:8" x14ac:dyDescent="0.25">
      <c r="A93" s="8" t="s">
        <v>281</v>
      </c>
      <c r="B93" s="8">
        <v>100</v>
      </c>
      <c r="C93" s="8">
        <v>4078.1</v>
      </c>
      <c r="D93" s="8"/>
      <c r="E93" s="8">
        <f t="shared" si="2"/>
        <v>0</v>
      </c>
      <c r="F93" s="8">
        <v>1.6</v>
      </c>
      <c r="G93" s="8">
        <f t="shared" si="3"/>
        <v>0</v>
      </c>
      <c r="H93" s="8">
        <v>6530</v>
      </c>
    </row>
    <row r="94" spans="1:8" x14ac:dyDescent="0.25">
      <c r="A94" s="128" t="s">
        <v>97</v>
      </c>
      <c r="B94" s="128"/>
      <c r="C94" s="128"/>
      <c r="D94" s="128"/>
      <c r="E94" s="8">
        <f t="shared" si="2"/>
        <v>0</v>
      </c>
      <c r="F94" s="128"/>
      <c r="G94" s="128">
        <f t="shared" si="3"/>
        <v>0</v>
      </c>
      <c r="H94" s="128"/>
    </row>
    <row r="95" spans="1:8" x14ac:dyDescent="0.25">
      <c r="A95" s="8" t="s">
        <v>98</v>
      </c>
      <c r="B95" s="8">
        <v>100</v>
      </c>
      <c r="C95" s="8">
        <v>2649.21</v>
      </c>
      <c r="D95" s="8"/>
      <c r="E95" s="8">
        <f t="shared" si="2"/>
        <v>0</v>
      </c>
      <c r="F95" s="8">
        <v>1.6</v>
      </c>
      <c r="G95" s="8">
        <f t="shared" si="3"/>
        <v>0</v>
      </c>
      <c r="H95" s="8">
        <v>4240</v>
      </c>
    </row>
    <row r="96" spans="1:8" x14ac:dyDescent="0.25">
      <c r="A96" s="8" t="s">
        <v>99</v>
      </c>
      <c r="B96" s="8">
        <v>100</v>
      </c>
      <c r="C96" s="8">
        <v>3810.77</v>
      </c>
      <c r="D96" s="8"/>
      <c r="E96" s="8">
        <f t="shared" si="2"/>
        <v>0</v>
      </c>
      <c r="F96" s="8">
        <v>1.6</v>
      </c>
      <c r="G96" s="8">
        <f t="shared" si="3"/>
        <v>0</v>
      </c>
      <c r="H96" s="8">
        <v>6100</v>
      </c>
    </row>
    <row r="97" spans="1:8" x14ac:dyDescent="0.25">
      <c r="A97" s="8" t="s">
        <v>100</v>
      </c>
      <c r="B97" s="8">
        <v>100</v>
      </c>
      <c r="C97" s="8">
        <v>4825.5600000000004</v>
      </c>
      <c r="D97" s="8"/>
      <c r="E97" s="8">
        <f t="shared" si="2"/>
        <v>0</v>
      </c>
      <c r="F97" s="8">
        <v>1.6</v>
      </c>
      <c r="G97" s="8">
        <f t="shared" si="3"/>
        <v>0</v>
      </c>
      <c r="H97" s="8">
        <v>7720</v>
      </c>
    </row>
    <row r="98" spans="1:8" x14ac:dyDescent="0.25">
      <c r="A98" s="8" t="s">
        <v>101</v>
      </c>
      <c r="B98" s="8">
        <v>100</v>
      </c>
      <c r="C98" s="8">
        <v>6152.55</v>
      </c>
      <c r="D98" s="8"/>
      <c r="E98" s="8">
        <f t="shared" si="2"/>
        <v>0</v>
      </c>
      <c r="F98" s="8">
        <v>1.6</v>
      </c>
      <c r="G98" s="8">
        <f t="shared" si="3"/>
        <v>0</v>
      </c>
      <c r="H98" s="8">
        <v>9850</v>
      </c>
    </row>
    <row r="99" spans="1:8" x14ac:dyDescent="0.25">
      <c r="A99" s="8" t="s">
        <v>102</v>
      </c>
      <c r="B99" s="8">
        <v>100</v>
      </c>
      <c r="C99" s="8">
        <v>10844.64</v>
      </c>
      <c r="D99" s="8"/>
      <c r="E99" s="8">
        <f t="shared" si="2"/>
        <v>0</v>
      </c>
      <c r="F99" s="8">
        <v>1.6</v>
      </c>
      <c r="G99" s="8">
        <f t="shared" si="3"/>
        <v>0</v>
      </c>
      <c r="H99" s="8">
        <v>17360</v>
      </c>
    </row>
    <row r="100" spans="1:8" x14ac:dyDescent="0.25">
      <c r="A100" s="8" t="s">
        <v>103</v>
      </c>
      <c r="B100" s="8">
        <v>10</v>
      </c>
      <c r="C100" s="8">
        <v>576.54</v>
      </c>
      <c r="D100" s="8"/>
      <c r="E100" s="8">
        <f t="shared" si="2"/>
        <v>0</v>
      </c>
      <c r="F100" s="8">
        <v>1.6</v>
      </c>
      <c r="G100" s="8">
        <f t="shared" si="3"/>
        <v>0</v>
      </c>
      <c r="H100" s="8">
        <v>930</v>
      </c>
    </row>
    <row r="101" spans="1:8" x14ac:dyDescent="0.25">
      <c r="A101" s="128" t="s">
        <v>104</v>
      </c>
      <c r="B101" s="128"/>
      <c r="C101" s="128"/>
      <c r="D101" s="128"/>
      <c r="E101" s="8">
        <f t="shared" si="2"/>
        <v>0</v>
      </c>
      <c r="F101" s="128"/>
      <c r="G101" s="128">
        <f t="shared" si="3"/>
        <v>0</v>
      </c>
      <c r="H101" s="128"/>
    </row>
    <row r="102" spans="1:8" x14ac:dyDescent="0.25">
      <c r="A102" s="8" t="s">
        <v>105</v>
      </c>
      <c r="B102" s="8">
        <v>1</v>
      </c>
      <c r="C102" s="8">
        <v>492.02</v>
      </c>
      <c r="D102" s="8"/>
      <c r="E102" s="8">
        <f t="shared" si="2"/>
        <v>0</v>
      </c>
      <c r="F102" s="8">
        <v>1.6</v>
      </c>
      <c r="G102" s="8">
        <f t="shared" si="3"/>
        <v>0</v>
      </c>
      <c r="H102" s="8">
        <v>790</v>
      </c>
    </row>
    <row r="103" spans="1:8" x14ac:dyDescent="0.25">
      <c r="A103" s="8" t="s">
        <v>106</v>
      </c>
      <c r="B103" s="8">
        <v>1</v>
      </c>
      <c r="C103" s="8">
        <v>280</v>
      </c>
      <c r="D103" s="8"/>
      <c r="E103" s="8">
        <f t="shared" si="2"/>
        <v>0</v>
      </c>
      <c r="F103" s="8">
        <v>1.6</v>
      </c>
      <c r="G103" s="8">
        <f t="shared" si="3"/>
        <v>0</v>
      </c>
      <c r="H103" s="8">
        <v>450</v>
      </c>
    </row>
    <row r="104" spans="1:8" x14ac:dyDescent="0.25">
      <c r="A104" s="8" t="s">
        <v>107</v>
      </c>
      <c r="B104" s="8">
        <v>1</v>
      </c>
      <c r="C104" s="8">
        <v>420</v>
      </c>
      <c r="D104" s="8"/>
      <c r="E104" s="8">
        <f t="shared" si="2"/>
        <v>0</v>
      </c>
      <c r="F104" s="8">
        <v>1.6</v>
      </c>
      <c r="G104" s="8">
        <f t="shared" si="3"/>
        <v>0</v>
      </c>
      <c r="H104" s="8">
        <v>680</v>
      </c>
    </row>
    <row r="105" spans="1:8" x14ac:dyDescent="0.25">
      <c r="A105" s="8" t="s">
        <v>108</v>
      </c>
      <c r="B105" s="8">
        <v>1</v>
      </c>
      <c r="C105" s="8">
        <v>510</v>
      </c>
      <c r="D105" s="8"/>
      <c r="E105" s="8">
        <f t="shared" si="2"/>
        <v>0</v>
      </c>
      <c r="F105" s="8">
        <v>1.6</v>
      </c>
      <c r="G105" s="8">
        <f t="shared" si="3"/>
        <v>0</v>
      </c>
      <c r="H105" s="8">
        <v>820</v>
      </c>
    </row>
    <row r="106" spans="1:8" x14ac:dyDescent="0.25">
      <c r="A106" s="8" t="s">
        <v>109</v>
      </c>
      <c r="B106" s="8">
        <v>1</v>
      </c>
      <c r="C106" s="8">
        <v>600</v>
      </c>
      <c r="D106" s="8"/>
      <c r="E106" s="8">
        <f t="shared" si="2"/>
        <v>0</v>
      </c>
      <c r="F106" s="8">
        <v>1.6</v>
      </c>
      <c r="G106" s="8">
        <f t="shared" si="3"/>
        <v>0</v>
      </c>
      <c r="H106" s="8">
        <v>960</v>
      </c>
    </row>
    <row r="107" spans="1:8" x14ac:dyDescent="0.25">
      <c r="A107" s="128" t="s">
        <v>110</v>
      </c>
      <c r="B107" s="128"/>
      <c r="C107" s="128"/>
      <c r="D107" s="128"/>
      <c r="E107" s="8">
        <f t="shared" si="2"/>
        <v>0</v>
      </c>
      <c r="F107" s="128"/>
      <c r="G107" s="128">
        <f t="shared" si="3"/>
        <v>0</v>
      </c>
      <c r="H107" s="128"/>
    </row>
    <row r="108" spans="1:8" x14ac:dyDescent="0.25">
      <c r="A108" s="8" t="s">
        <v>111</v>
      </c>
      <c r="B108" s="8">
        <v>100</v>
      </c>
      <c r="C108" s="8">
        <v>892.06</v>
      </c>
      <c r="D108" s="8"/>
      <c r="E108" s="8">
        <f t="shared" si="2"/>
        <v>0</v>
      </c>
      <c r="F108" s="8">
        <v>1.6</v>
      </c>
      <c r="G108" s="8">
        <f t="shared" si="3"/>
        <v>0</v>
      </c>
      <c r="H108" s="8">
        <v>1430</v>
      </c>
    </row>
    <row r="109" spans="1:8" x14ac:dyDescent="0.25">
      <c r="A109" s="8" t="s">
        <v>112</v>
      </c>
      <c r="B109" s="8">
        <v>100</v>
      </c>
      <c r="C109" s="8">
        <v>1030.24</v>
      </c>
      <c r="D109" s="8"/>
      <c r="E109" s="8">
        <f t="shared" si="2"/>
        <v>0</v>
      </c>
      <c r="F109" s="8">
        <v>1.6</v>
      </c>
      <c r="G109" s="8">
        <f t="shared" si="3"/>
        <v>0</v>
      </c>
      <c r="H109" s="8">
        <v>1650</v>
      </c>
    </row>
    <row r="110" spans="1:8" x14ac:dyDescent="0.25">
      <c r="A110" s="8" t="s">
        <v>113</v>
      </c>
      <c r="B110" s="8">
        <v>100</v>
      </c>
      <c r="C110" s="8">
        <v>1360.36</v>
      </c>
      <c r="D110" s="8"/>
      <c r="E110" s="8">
        <f t="shared" si="2"/>
        <v>0</v>
      </c>
      <c r="F110" s="8">
        <v>1.6</v>
      </c>
      <c r="G110" s="8">
        <f t="shared" si="3"/>
        <v>0</v>
      </c>
      <c r="H110" s="8">
        <v>2180</v>
      </c>
    </row>
    <row r="111" spans="1:8" x14ac:dyDescent="0.25">
      <c r="A111" s="8" t="s">
        <v>114</v>
      </c>
      <c r="B111" s="8">
        <v>100</v>
      </c>
      <c r="C111" s="8">
        <v>1685.34</v>
      </c>
      <c r="D111" s="8"/>
      <c r="E111" s="8">
        <f t="shared" si="2"/>
        <v>0</v>
      </c>
      <c r="F111" s="8">
        <v>1.6</v>
      </c>
      <c r="G111" s="8">
        <f t="shared" si="3"/>
        <v>0</v>
      </c>
      <c r="H111" s="8">
        <v>2700</v>
      </c>
    </row>
    <row r="112" spans="1:8" x14ac:dyDescent="0.25">
      <c r="A112" s="8" t="s">
        <v>115</v>
      </c>
      <c r="B112" s="8">
        <v>100</v>
      </c>
      <c r="C112" s="8">
        <v>1981.71</v>
      </c>
      <c r="D112" s="8"/>
      <c r="E112" s="8">
        <f t="shared" si="2"/>
        <v>0</v>
      </c>
      <c r="F112" s="8">
        <v>1.6</v>
      </c>
      <c r="G112" s="8">
        <f t="shared" si="3"/>
        <v>0</v>
      </c>
      <c r="H112" s="8">
        <v>3170</v>
      </c>
    </row>
    <row r="113" spans="1:8" x14ac:dyDescent="0.25">
      <c r="A113" s="8" t="s">
        <v>240</v>
      </c>
      <c r="B113" s="8">
        <v>100</v>
      </c>
      <c r="C113" s="8">
        <v>2500</v>
      </c>
      <c r="D113" s="8"/>
      <c r="E113" s="8">
        <f t="shared" si="2"/>
        <v>0</v>
      </c>
      <c r="F113" s="8">
        <v>1.6</v>
      </c>
      <c r="G113" s="8">
        <f t="shared" si="3"/>
        <v>0</v>
      </c>
      <c r="H113" s="8">
        <v>4000</v>
      </c>
    </row>
    <row r="114" spans="1:8" x14ac:dyDescent="0.25">
      <c r="A114" s="128" t="s">
        <v>116</v>
      </c>
      <c r="B114" s="128"/>
      <c r="C114" s="128"/>
      <c r="D114" s="128"/>
      <c r="E114" s="8">
        <f t="shared" si="2"/>
        <v>0</v>
      </c>
      <c r="F114" s="128"/>
      <c r="G114" s="128">
        <f t="shared" si="3"/>
        <v>0</v>
      </c>
      <c r="H114" s="128"/>
    </row>
    <row r="115" spans="1:8" x14ac:dyDescent="0.25">
      <c r="A115" s="8" t="s">
        <v>117</v>
      </c>
      <c r="B115" s="8">
        <v>100</v>
      </c>
      <c r="C115" s="8">
        <v>2205.91</v>
      </c>
      <c r="D115" s="8"/>
      <c r="E115" s="8">
        <f t="shared" si="2"/>
        <v>0</v>
      </c>
      <c r="F115" s="8">
        <v>1.6</v>
      </c>
      <c r="G115" s="8">
        <f t="shared" si="3"/>
        <v>0</v>
      </c>
      <c r="H115" s="8">
        <v>3530</v>
      </c>
    </row>
    <row r="116" spans="1:8" x14ac:dyDescent="0.25">
      <c r="A116" s="8" t="s">
        <v>118</v>
      </c>
      <c r="B116" s="8">
        <v>100</v>
      </c>
      <c r="C116" s="8">
        <v>2588.84</v>
      </c>
      <c r="D116" s="8"/>
      <c r="E116" s="8">
        <f t="shared" si="2"/>
        <v>0</v>
      </c>
      <c r="F116" s="8">
        <v>1.6</v>
      </c>
      <c r="G116" s="8">
        <f t="shared" si="3"/>
        <v>0</v>
      </c>
      <c r="H116" s="8">
        <v>4150</v>
      </c>
    </row>
    <row r="117" spans="1:8" x14ac:dyDescent="0.25">
      <c r="A117" s="8" t="s">
        <v>119</v>
      </c>
      <c r="B117" s="8">
        <v>100</v>
      </c>
      <c r="C117" s="8">
        <v>4827.0600000000004</v>
      </c>
      <c r="D117" s="8"/>
      <c r="E117" s="8">
        <f t="shared" si="2"/>
        <v>0</v>
      </c>
      <c r="F117" s="8">
        <v>1.6</v>
      </c>
      <c r="G117" s="8">
        <f t="shared" si="3"/>
        <v>0</v>
      </c>
      <c r="H117" s="8">
        <v>7730</v>
      </c>
    </row>
    <row r="118" spans="1:8" x14ac:dyDescent="0.25">
      <c r="A118" s="8" t="s">
        <v>120</v>
      </c>
      <c r="B118" s="8">
        <v>100</v>
      </c>
      <c r="C118" s="8">
        <v>4738.45</v>
      </c>
      <c r="D118" s="8"/>
      <c r="E118" s="8">
        <f t="shared" si="2"/>
        <v>0</v>
      </c>
      <c r="F118" s="8">
        <v>1.6</v>
      </c>
      <c r="G118" s="8">
        <f t="shared" si="3"/>
        <v>0</v>
      </c>
      <c r="H118" s="8">
        <v>7580</v>
      </c>
    </row>
    <row r="119" spans="1:8" x14ac:dyDescent="0.25">
      <c r="A119" s="128" t="s">
        <v>121</v>
      </c>
      <c r="B119" s="128"/>
      <c r="C119" s="128"/>
      <c r="D119" s="128"/>
      <c r="E119" s="8">
        <f t="shared" si="2"/>
        <v>0</v>
      </c>
      <c r="F119" s="128"/>
      <c r="G119" s="128">
        <f t="shared" si="3"/>
        <v>0</v>
      </c>
      <c r="H119" s="128"/>
    </row>
    <row r="120" spans="1:8" x14ac:dyDescent="0.25">
      <c r="A120" s="107" t="s">
        <v>118</v>
      </c>
      <c r="B120" s="107">
        <v>1</v>
      </c>
      <c r="C120" s="107">
        <v>442.73</v>
      </c>
      <c r="D120" s="107"/>
      <c r="E120" s="8">
        <f t="shared" si="2"/>
        <v>0</v>
      </c>
      <c r="F120" s="107">
        <v>1.6</v>
      </c>
      <c r="G120" s="107">
        <f t="shared" si="3"/>
        <v>0</v>
      </c>
      <c r="H120" s="107">
        <v>710</v>
      </c>
    </row>
    <row r="121" spans="1:8" x14ac:dyDescent="0.25">
      <c r="A121" s="107" t="s">
        <v>119</v>
      </c>
      <c r="B121" s="107">
        <v>1</v>
      </c>
      <c r="C121" s="107">
        <v>748.39</v>
      </c>
      <c r="D121" s="107"/>
      <c r="E121" s="8">
        <f t="shared" si="2"/>
        <v>0</v>
      </c>
      <c r="F121" s="107">
        <v>1.6</v>
      </c>
      <c r="G121" s="107">
        <f t="shared" si="3"/>
        <v>0</v>
      </c>
      <c r="H121" s="107">
        <v>1200</v>
      </c>
    </row>
    <row r="122" spans="1:8" x14ac:dyDescent="0.25">
      <c r="A122" s="107" t="s">
        <v>120</v>
      </c>
      <c r="B122" s="107">
        <v>1</v>
      </c>
      <c r="C122" s="107">
        <v>957.01</v>
      </c>
      <c r="D122" s="107"/>
      <c r="E122" s="8">
        <f t="shared" si="2"/>
        <v>0</v>
      </c>
      <c r="F122" s="107">
        <v>1.6</v>
      </c>
      <c r="G122" s="107">
        <f t="shared" si="3"/>
        <v>0</v>
      </c>
      <c r="H122" s="107">
        <v>1540</v>
      </c>
    </row>
    <row r="123" spans="1:8" x14ac:dyDescent="0.25">
      <c r="A123" s="107" t="s">
        <v>122</v>
      </c>
      <c r="B123" s="107">
        <v>1</v>
      </c>
      <c r="C123" s="107">
        <v>468.19</v>
      </c>
      <c r="D123" s="107"/>
      <c r="E123" s="8">
        <f t="shared" si="2"/>
        <v>0</v>
      </c>
      <c r="F123" s="107">
        <v>1.6</v>
      </c>
      <c r="G123" s="107">
        <f t="shared" si="3"/>
        <v>0</v>
      </c>
      <c r="H123" s="107">
        <v>750</v>
      </c>
    </row>
    <row r="124" spans="1:8" x14ac:dyDescent="0.25">
      <c r="A124" s="107" t="s">
        <v>123</v>
      </c>
      <c r="B124" s="107">
        <v>1</v>
      </c>
      <c r="C124" s="107">
        <v>922.57</v>
      </c>
      <c r="D124" s="107"/>
      <c r="E124" s="8">
        <f t="shared" si="2"/>
        <v>0</v>
      </c>
      <c r="F124" s="107">
        <v>1.6</v>
      </c>
      <c r="G124" s="107">
        <f t="shared" si="3"/>
        <v>0</v>
      </c>
      <c r="H124" s="107">
        <v>1480</v>
      </c>
    </row>
    <row r="125" spans="1:8" x14ac:dyDescent="0.25">
      <c r="A125" s="128" t="s">
        <v>124</v>
      </c>
      <c r="B125" s="128"/>
      <c r="C125" s="128"/>
      <c r="D125" s="128"/>
      <c r="E125" s="8">
        <f t="shared" si="2"/>
        <v>0</v>
      </c>
      <c r="F125" s="128"/>
      <c r="G125" s="128">
        <f t="shared" si="3"/>
        <v>0</v>
      </c>
      <c r="H125" s="128"/>
    </row>
    <row r="126" spans="1:8" x14ac:dyDescent="0.25">
      <c r="A126" s="8" t="s">
        <v>125</v>
      </c>
      <c r="B126" s="8">
        <v>100</v>
      </c>
      <c r="C126" s="8">
        <v>6115.06</v>
      </c>
      <c r="D126" s="8"/>
      <c r="E126" s="8">
        <f t="shared" si="2"/>
        <v>0</v>
      </c>
      <c r="F126" s="8">
        <v>1.6</v>
      </c>
      <c r="G126" s="8">
        <f t="shared" si="3"/>
        <v>0</v>
      </c>
      <c r="H126" s="8">
        <v>9790</v>
      </c>
    </row>
    <row r="127" spans="1:8" x14ac:dyDescent="0.25">
      <c r="A127" s="8" t="s">
        <v>126</v>
      </c>
      <c r="B127" s="8">
        <v>100</v>
      </c>
      <c r="C127" s="8">
        <v>10031.530000000001</v>
      </c>
      <c r="D127" s="8"/>
      <c r="E127" s="8">
        <f t="shared" si="2"/>
        <v>0</v>
      </c>
      <c r="F127" s="8">
        <v>1.6</v>
      </c>
      <c r="G127" s="8">
        <f t="shared" si="3"/>
        <v>0</v>
      </c>
      <c r="H127" s="8">
        <v>16050</v>
      </c>
    </row>
    <row r="128" spans="1:8" x14ac:dyDescent="0.25">
      <c r="A128" s="8" t="s">
        <v>127</v>
      </c>
      <c r="B128" s="8">
        <v>100</v>
      </c>
      <c r="C128" s="8">
        <v>14409.96</v>
      </c>
      <c r="D128" s="8"/>
      <c r="E128" s="8">
        <f t="shared" si="2"/>
        <v>0</v>
      </c>
      <c r="F128" s="8">
        <v>1.6</v>
      </c>
      <c r="G128" s="8">
        <f t="shared" si="3"/>
        <v>0</v>
      </c>
      <c r="H128" s="8">
        <v>23060</v>
      </c>
    </row>
    <row r="129" spans="1:8" x14ac:dyDescent="0.25">
      <c r="A129" s="8" t="s">
        <v>128</v>
      </c>
      <c r="B129" s="8">
        <v>100</v>
      </c>
      <c r="C129" s="8">
        <v>4500</v>
      </c>
      <c r="D129" s="8"/>
      <c r="E129" s="8">
        <f t="shared" si="2"/>
        <v>0</v>
      </c>
      <c r="F129" s="8">
        <v>1.6</v>
      </c>
      <c r="G129" s="8">
        <f t="shared" si="3"/>
        <v>0</v>
      </c>
      <c r="H129" s="8">
        <v>7200</v>
      </c>
    </row>
    <row r="130" spans="1:8" x14ac:dyDescent="0.25">
      <c r="A130" s="8" t="s">
        <v>277</v>
      </c>
      <c r="B130" s="8">
        <v>100</v>
      </c>
      <c r="C130" s="8">
        <v>681.01</v>
      </c>
      <c r="D130" s="8"/>
      <c r="E130" s="8">
        <f t="shared" si="2"/>
        <v>0</v>
      </c>
      <c r="F130" s="8">
        <v>1.6</v>
      </c>
      <c r="G130" s="8">
        <f t="shared" si="3"/>
        <v>0</v>
      </c>
      <c r="H130" s="8">
        <v>1090</v>
      </c>
    </row>
    <row r="131" spans="1:8" x14ac:dyDescent="0.25">
      <c r="A131" s="8" t="s">
        <v>129</v>
      </c>
      <c r="B131" s="8">
        <v>100</v>
      </c>
      <c r="C131" s="8">
        <v>5972.84</v>
      </c>
      <c r="D131" s="8"/>
      <c r="E131" s="8">
        <f t="shared" si="2"/>
        <v>0</v>
      </c>
      <c r="F131" s="8">
        <v>1.6</v>
      </c>
      <c r="G131" s="8">
        <f t="shared" si="3"/>
        <v>0</v>
      </c>
      <c r="H131" s="8">
        <v>9560</v>
      </c>
    </row>
    <row r="132" spans="1:8" x14ac:dyDescent="0.25">
      <c r="A132" s="8" t="s">
        <v>130</v>
      </c>
      <c r="B132" s="8">
        <v>100</v>
      </c>
      <c r="C132" s="8">
        <v>4893.62</v>
      </c>
      <c r="D132" s="8"/>
      <c r="E132" s="8">
        <f t="shared" si="2"/>
        <v>0</v>
      </c>
      <c r="F132" s="8">
        <v>1.6</v>
      </c>
      <c r="G132" s="8">
        <f t="shared" si="3"/>
        <v>0</v>
      </c>
      <c r="H132" s="8">
        <v>7830</v>
      </c>
    </row>
    <row r="133" spans="1:8" x14ac:dyDescent="0.25">
      <c r="A133" s="8" t="s">
        <v>131</v>
      </c>
      <c r="B133" s="8">
        <v>100</v>
      </c>
      <c r="C133" s="8">
        <v>1122.78</v>
      </c>
      <c r="D133" s="8"/>
      <c r="E133" s="8">
        <f t="shared" ref="E133:E196" si="4">C133*D133</f>
        <v>0</v>
      </c>
      <c r="F133" s="8">
        <v>1.6</v>
      </c>
      <c r="G133" s="8">
        <f t="shared" si="3"/>
        <v>0</v>
      </c>
      <c r="H133" s="8">
        <v>1800</v>
      </c>
    </row>
    <row r="134" spans="1:8" x14ac:dyDescent="0.25">
      <c r="A134" s="128" t="s">
        <v>132</v>
      </c>
      <c r="B134" s="128"/>
      <c r="C134" s="128"/>
      <c r="D134" s="128"/>
      <c r="E134" s="8">
        <f t="shared" si="4"/>
        <v>0</v>
      </c>
      <c r="F134" s="128"/>
      <c r="G134" s="128">
        <f t="shared" ref="G134:G197" si="5">E134*F134</f>
        <v>0</v>
      </c>
      <c r="H134" s="128"/>
    </row>
    <row r="135" spans="1:8" x14ac:dyDescent="0.25">
      <c r="A135" s="8" t="s">
        <v>246</v>
      </c>
      <c r="B135" s="8">
        <v>100</v>
      </c>
      <c r="C135" s="8">
        <v>2792.57</v>
      </c>
      <c r="D135" s="8"/>
      <c r="E135" s="8">
        <f t="shared" si="4"/>
        <v>0</v>
      </c>
      <c r="F135" s="8">
        <v>1.6</v>
      </c>
      <c r="G135" s="8">
        <f t="shared" si="5"/>
        <v>0</v>
      </c>
      <c r="H135" s="8">
        <v>4470</v>
      </c>
    </row>
    <row r="136" spans="1:8" x14ac:dyDescent="0.25">
      <c r="A136" s="8" t="s">
        <v>133</v>
      </c>
      <c r="B136" s="8">
        <v>100</v>
      </c>
      <c r="C136" s="8">
        <v>662.76</v>
      </c>
      <c r="D136" s="8"/>
      <c r="E136" s="8">
        <f t="shared" si="4"/>
        <v>0</v>
      </c>
      <c r="F136" s="8">
        <v>1.6</v>
      </c>
      <c r="G136" s="8">
        <f t="shared" si="5"/>
        <v>0</v>
      </c>
      <c r="H136" s="8">
        <v>1060</v>
      </c>
    </row>
    <row r="137" spans="1:8" x14ac:dyDescent="0.25">
      <c r="A137" s="8" t="s">
        <v>134</v>
      </c>
      <c r="B137" s="8">
        <v>100</v>
      </c>
      <c r="C137" s="8">
        <v>786.44</v>
      </c>
      <c r="D137" s="8"/>
      <c r="E137" s="8">
        <v>786.44</v>
      </c>
      <c r="F137" s="8">
        <v>1.6</v>
      </c>
      <c r="G137" s="8">
        <f t="shared" si="5"/>
        <v>1258.3040000000001</v>
      </c>
      <c r="H137" s="8">
        <v>1480</v>
      </c>
    </row>
    <row r="138" spans="1:8" x14ac:dyDescent="0.25">
      <c r="A138" s="8" t="s">
        <v>135</v>
      </c>
      <c r="B138" s="8">
        <v>100</v>
      </c>
      <c r="C138" s="8">
        <v>1299.52</v>
      </c>
      <c r="D138" s="8"/>
      <c r="E138" s="8">
        <v>1081.98</v>
      </c>
      <c r="F138" s="8">
        <v>1.6</v>
      </c>
      <c r="G138" s="8">
        <f t="shared" si="5"/>
        <v>1731.1680000000001</v>
      </c>
      <c r="H138" s="8">
        <v>2080</v>
      </c>
    </row>
    <row r="139" spans="1:8" x14ac:dyDescent="0.25">
      <c r="A139" s="8" t="s">
        <v>136</v>
      </c>
      <c r="B139" s="8">
        <v>100</v>
      </c>
      <c r="C139" s="8">
        <v>1610.47</v>
      </c>
      <c r="D139" s="8"/>
      <c r="E139" s="8">
        <v>1313.47</v>
      </c>
      <c r="F139" s="8">
        <v>1.6</v>
      </c>
      <c r="G139" s="8">
        <f t="shared" si="5"/>
        <v>2101.5520000000001</v>
      </c>
      <c r="H139" s="8">
        <v>2580</v>
      </c>
    </row>
    <row r="140" spans="1:8" x14ac:dyDescent="0.25">
      <c r="A140" s="8" t="s">
        <v>137</v>
      </c>
      <c r="B140" s="8">
        <v>100</v>
      </c>
      <c r="C140" s="8">
        <v>2110.06</v>
      </c>
      <c r="D140" s="8"/>
      <c r="E140" s="8">
        <v>1768.26</v>
      </c>
      <c r="F140" s="8">
        <v>1.6</v>
      </c>
      <c r="G140" s="8">
        <f t="shared" si="5"/>
        <v>2829.2160000000003</v>
      </c>
      <c r="H140" s="8">
        <v>3380</v>
      </c>
    </row>
    <row r="141" spans="1:8" x14ac:dyDescent="0.25">
      <c r="A141" s="8" t="s">
        <v>138</v>
      </c>
      <c r="B141" s="8">
        <v>100</v>
      </c>
      <c r="C141" s="8">
        <v>2378.09</v>
      </c>
      <c r="D141" s="8"/>
      <c r="E141" s="8">
        <f t="shared" si="4"/>
        <v>0</v>
      </c>
      <c r="F141" s="8">
        <v>1.6</v>
      </c>
      <c r="G141" s="8">
        <f t="shared" si="5"/>
        <v>0</v>
      </c>
      <c r="H141" s="8">
        <v>3810</v>
      </c>
    </row>
    <row r="142" spans="1:8" x14ac:dyDescent="0.25">
      <c r="A142" s="128" t="s">
        <v>139</v>
      </c>
      <c r="B142" s="128"/>
      <c r="C142" s="128"/>
      <c r="D142" s="128"/>
      <c r="E142" s="8">
        <f t="shared" si="4"/>
        <v>0</v>
      </c>
      <c r="F142" s="128"/>
      <c r="G142" s="128">
        <f t="shared" si="5"/>
        <v>0</v>
      </c>
      <c r="H142" s="128"/>
    </row>
    <row r="143" spans="1:8" x14ac:dyDescent="0.25">
      <c r="A143" s="8" t="s">
        <v>140</v>
      </c>
      <c r="B143" s="8" t="s">
        <v>141</v>
      </c>
      <c r="C143" s="8">
        <v>1108.8</v>
      </c>
      <c r="D143" s="8"/>
      <c r="E143" s="8">
        <f t="shared" si="4"/>
        <v>0</v>
      </c>
      <c r="F143" s="8">
        <v>1.6</v>
      </c>
      <c r="G143" s="8">
        <f t="shared" si="5"/>
        <v>0</v>
      </c>
      <c r="H143" s="8">
        <v>1780</v>
      </c>
    </row>
    <row r="144" spans="1:8" x14ac:dyDescent="0.25">
      <c r="A144" s="8" t="s">
        <v>247</v>
      </c>
      <c r="B144" s="8" t="s">
        <v>141</v>
      </c>
      <c r="C144" s="8">
        <v>3560</v>
      </c>
      <c r="D144" s="8"/>
      <c r="E144" s="8">
        <f t="shared" si="4"/>
        <v>0</v>
      </c>
      <c r="F144" s="8">
        <v>1.6</v>
      </c>
      <c r="G144" s="8">
        <f t="shared" si="5"/>
        <v>0</v>
      </c>
      <c r="H144" s="8">
        <v>6000</v>
      </c>
    </row>
    <row r="145" spans="1:8" x14ac:dyDescent="0.25">
      <c r="A145" s="8" t="s">
        <v>283</v>
      </c>
      <c r="B145" s="8" t="s">
        <v>141</v>
      </c>
      <c r="C145" s="8">
        <v>1417.5</v>
      </c>
      <c r="D145" s="8"/>
      <c r="E145" s="8">
        <f t="shared" si="4"/>
        <v>0</v>
      </c>
      <c r="F145" s="8">
        <v>1.6</v>
      </c>
      <c r="G145" s="8">
        <f t="shared" si="5"/>
        <v>0</v>
      </c>
      <c r="H145" s="8">
        <v>2270</v>
      </c>
    </row>
    <row r="146" spans="1:8" x14ac:dyDescent="0.25">
      <c r="A146" s="8" t="s">
        <v>239</v>
      </c>
      <c r="B146" s="8" t="s">
        <v>141</v>
      </c>
      <c r="C146" s="8">
        <v>1940.6</v>
      </c>
      <c r="D146" s="8"/>
      <c r="E146" s="8">
        <f t="shared" si="4"/>
        <v>0</v>
      </c>
      <c r="F146" s="8">
        <v>1.6</v>
      </c>
      <c r="G146" s="8">
        <f t="shared" si="5"/>
        <v>0</v>
      </c>
      <c r="H146" s="8">
        <v>3110</v>
      </c>
    </row>
    <row r="147" spans="1:8" x14ac:dyDescent="0.25">
      <c r="A147" s="8" t="s">
        <v>142</v>
      </c>
      <c r="B147" s="8" t="s">
        <v>141</v>
      </c>
      <c r="C147" s="8">
        <v>1144.8499999999999</v>
      </c>
      <c r="D147" s="8"/>
      <c r="E147" s="8">
        <f t="shared" si="4"/>
        <v>0</v>
      </c>
      <c r="F147" s="8">
        <v>1.6</v>
      </c>
      <c r="G147" s="8">
        <f t="shared" si="5"/>
        <v>0</v>
      </c>
      <c r="H147" s="8">
        <v>1850</v>
      </c>
    </row>
    <row r="148" spans="1:8" x14ac:dyDescent="0.25">
      <c r="A148" s="128" t="s">
        <v>147</v>
      </c>
      <c r="B148" s="128"/>
      <c r="C148" s="128"/>
      <c r="D148" s="128"/>
      <c r="E148" s="8">
        <f t="shared" si="4"/>
        <v>0</v>
      </c>
      <c r="F148" s="128"/>
      <c r="G148" s="128">
        <f t="shared" si="5"/>
        <v>0</v>
      </c>
      <c r="H148" s="128"/>
    </row>
    <row r="149" spans="1:8" x14ac:dyDescent="0.25">
      <c r="A149" s="8" t="s">
        <v>10</v>
      </c>
      <c r="B149" s="8">
        <v>100</v>
      </c>
      <c r="C149" s="8">
        <v>32.03</v>
      </c>
      <c r="D149" s="8"/>
      <c r="E149" s="8">
        <f t="shared" si="4"/>
        <v>0</v>
      </c>
      <c r="F149" s="8">
        <v>1.6</v>
      </c>
      <c r="G149" s="8">
        <f t="shared" si="5"/>
        <v>0</v>
      </c>
      <c r="H149" s="8">
        <v>5130</v>
      </c>
    </row>
    <row r="150" spans="1:8" x14ac:dyDescent="0.25">
      <c r="A150" s="8" t="s">
        <v>11</v>
      </c>
      <c r="B150" s="8">
        <v>100</v>
      </c>
      <c r="C150" s="8">
        <v>42.83</v>
      </c>
      <c r="D150" s="8"/>
      <c r="E150" s="8">
        <f t="shared" si="4"/>
        <v>0</v>
      </c>
      <c r="F150" s="8">
        <v>1.6</v>
      </c>
      <c r="G150" s="8">
        <f t="shared" si="5"/>
        <v>0</v>
      </c>
      <c r="H150" s="8">
        <v>68</v>
      </c>
    </row>
    <row r="151" spans="1:8" x14ac:dyDescent="0.25">
      <c r="A151" s="8" t="s">
        <v>143</v>
      </c>
      <c r="B151" s="8">
        <v>100</v>
      </c>
      <c r="C151" s="8">
        <v>3210</v>
      </c>
      <c r="D151" s="8"/>
      <c r="E151" s="8">
        <f t="shared" si="4"/>
        <v>0</v>
      </c>
      <c r="F151" s="8">
        <v>1.6</v>
      </c>
      <c r="G151" s="8">
        <f t="shared" si="5"/>
        <v>0</v>
      </c>
      <c r="H151" s="8">
        <v>5140</v>
      </c>
    </row>
    <row r="152" spans="1:8" x14ac:dyDescent="0.25">
      <c r="A152" s="8" t="s">
        <v>144</v>
      </c>
      <c r="B152" s="8">
        <v>100</v>
      </c>
      <c r="C152" s="8">
        <v>2173</v>
      </c>
      <c r="D152" s="8"/>
      <c r="E152" s="8">
        <f t="shared" si="4"/>
        <v>0</v>
      </c>
      <c r="F152" s="8">
        <v>1.6</v>
      </c>
      <c r="G152" s="8">
        <f t="shared" si="5"/>
        <v>0</v>
      </c>
      <c r="H152" s="8">
        <v>3480</v>
      </c>
    </row>
    <row r="153" spans="1:8" x14ac:dyDescent="0.25">
      <c r="A153" s="8" t="s">
        <v>145</v>
      </c>
      <c r="B153" s="8">
        <v>100</v>
      </c>
      <c r="C153" s="8">
        <v>65.83</v>
      </c>
      <c r="D153" s="8"/>
      <c r="E153" s="8">
        <f t="shared" si="4"/>
        <v>0</v>
      </c>
      <c r="F153" s="8">
        <v>1.6</v>
      </c>
      <c r="G153" s="8">
        <f t="shared" si="5"/>
        <v>0</v>
      </c>
      <c r="H153" s="8">
        <v>110</v>
      </c>
    </row>
    <row r="154" spans="1:8" x14ac:dyDescent="0.25">
      <c r="A154" s="8" t="s">
        <v>243</v>
      </c>
      <c r="B154" s="8">
        <v>100</v>
      </c>
      <c r="C154" s="8">
        <v>101.18</v>
      </c>
      <c r="D154" s="8"/>
      <c r="E154" s="8">
        <f t="shared" si="4"/>
        <v>0</v>
      </c>
      <c r="F154" s="8">
        <v>1.6</v>
      </c>
      <c r="G154" s="8">
        <f t="shared" si="5"/>
        <v>0</v>
      </c>
      <c r="H154" s="8">
        <v>160</v>
      </c>
    </row>
    <row r="155" spans="1:8" x14ac:dyDescent="0.25">
      <c r="A155" s="8" t="s">
        <v>146</v>
      </c>
      <c r="B155" s="8">
        <v>100</v>
      </c>
      <c r="C155" s="8">
        <v>105.08</v>
      </c>
      <c r="D155" s="8"/>
      <c r="E155" s="8">
        <f t="shared" si="4"/>
        <v>0</v>
      </c>
      <c r="F155" s="8">
        <v>1.6</v>
      </c>
      <c r="G155" s="8">
        <f t="shared" si="5"/>
        <v>0</v>
      </c>
      <c r="H155" s="8">
        <v>170</v>
      </c>
    </row>
    <row r="156" spans="1:8" x14ac:dyDescent="0.25">
      <c r="A156" s="128" t="s">
        <v>148</v>
      </c>
      <c r="B156" s="128"/>
      <c r="C156" s="128"/>
      <c r="D156" s="128"/>
      <c r="E156" s="8">
        <f t="shared" si="4"/>
        <v>0</v>
      </c>
      <c r="F156" s="128"/>
      <c r="G156" s="128">
        <f t="shared" si="5"/>
        <v>0</v>
      </c>
      <c r="H156" s="128"/>
    </row>
    <row r="157" spans="1:8" x14ac:dyDescent="0.25">
      <c r="A157" s="8" t="s">
        <v>149</v>
      </c>
      <c r="B157" s="8">
        <v>100</v>
      </c>
      <c r="C157" s="8">
        <v>2097.9</v>
      </c>
      <c r="D157" s="8"/>
      <c r="E157" s="8">
        <f t="shared" si="4"/>
        <v>0</v>
      </c>
      <c r="F157" s="8">
        <v>1.6</v>
      </c>
      <c r="G157" s="8">
        <f t="shared" si="5"/>
        <v>0</v>
      </c>
      <c r="H157" s="8">
        <v>3360</v>
      </c>
    </row>
    <row r="158" spans="1:8" x14ac:dyDescent="0.25">
      <c r="A158" s="8" t="s">
        <v>150</v>
      </c>
      <c r="B158" s="8">
        <v>100</v>
      </c>
      <c r="C158" s="8">
        <v>2244.4699999999998</v>
      </c>
      <c r="D158" s="8"/>
      <c r="E158" s="8">
        <f t="shared" si="4"/>
        <v>0</v>
      </c>
      <c r="F158" s="8">
        <v>1.6</v>
      </c>
      <c r="G158" s="8">
        <f t="shared" si="5"/>
        <v>0</v>
      </c>
      <c r="H158" s="8">
        <v>3600</v>
      </c>
    </row>
    <row r="159" spans="1:8" x14ac:dyDescent="0.25">
      <c r="A159" s="8" t="s">
        <v>151</v>
      </c>
      <c r="B159" s="8">
        <v>100</v>
      </c>
      <c r="C159" s="8">
        <v>3328</v>
      </c>
      <c r="D159" s="8"/>
      <c r="E159" s="8">
        <f t="shared" si="4"/>
        <v>0</v>
      </c>
      <c r="F159" s="8">
        <v>1.6</v>
      </c>
      <c r="G159" s="8">
        <f t="shared" si="5"/>
        <v>0</v>
      </c>
      <c r="H159" s="8">
        <v>5330</v>
      </c>
    </row>
    <row r="160" spans="1:8" x14ac:dyDescent="0.25">
      <c r="A160" s="8" t="s">
        <v>152</v>
      </c>
      <c r="B160" s="8">
        <v>100</v>
      </c>
      <c r="C160" s="8">
        <v>4527.6400000000003</v>
      </c>
      <c r="D160" s="8"/>
      <c r="E160" s="8">
        <f t="shared" si="4"/>
        <v>0</v>
      </c>
      <c r="F160" s="8">
        <v>1.6</v>
      </c>
      <c r="G160" s="8">
        <f t="shared" si="5"/>
        <v>0</v>
      </c>
      <c r="H160" s="8">
        <v>7250</v>
      </c>
    </row>
    <row r="161" spans="1:8" x14ac:dyDescent="0.25">
      <c r="A161" s="8" t="s">
        <v>153</v>
      </c>
      <c r="B161" s="8">
        <v>100</v>
      </c>
      <c r="C161" s="8">
        <v>7197.97</v>
      </c>
      <c r="D161" s="8"/>
      <c r="E161" s="8">
        <f t="shared" si="4"/>
        <v>0</v>
      </c>
      <c r="F161" s="8">
        <v>1.6</v>
      </c>
      <c r="G161" s="8">
        <f t="shared" si="5"/>
        <v>0</v>
      </c>
      <c r="H161" s="8">
        <v>11520</v>
      </c>
    </row>
    <row r="162" spans="1:8" x14ac:dyDescent="0.25">
      <c r="A162" s="8" t="s">
        <v>154</v>
      </c>
      <c r="B162" s="8">
        <v>100</v>
      </c>
      <c r="C162" s="8">
        <v>3423.56</v>
      </c>
      <c r="D162" s="8"/>
      <c r="E162" s="8">
        <f t="shared" si="4"/>
        <v>0</v>
      </c>
      <c r="F162" s="8">
        <v>1.6</v>
      </c>
      <c r="G162" s="8">
        <f t="shared" si="5"/>
        <v>0</v>
      </c>
      <c r="H162" s="8">
        <v>5480</v>
      </c>
    </row>
    <row r="163" spans="1:8" x14ac:dyDescent="0.25">
      <c r="A163" s="8" t="s">
        <v>231</v>
      </c>
      <c r="B163" s="8">
        <v>100</v>
      </c>
      <c r="C163" s="8"/>
      <c r="D163" s="8"/>
      <c r="E163" s="8">
        <f t="shared" si="4"/>
        <v>0</v>
      </c>
      <c r="F163" s="8">
        <v>1.6</v>
      </c>
      <c r="G163" s="8">
        <f t="shared" si="5"/>
        <v>0</v>
      </c>
      <c r="H163" s="8"/>
    </row>
    <row r="164" spans="1:8" x14ac:dyDescent="0.25">
      <c r="A164" s="8" t="s">
        <v>155</v>
      </c>
      <c r="B164" s="8">
        <v>100</v>
      </c>
      <c r="C164" s="8">
        <v>4684.8599999999997</v>
      </c>
      <c r="D164" s="8"/>
      <c r="E164" s="8">
        <f t="shared" si="4"/>
        <v>0</v>
      </c>
      <c r="F164" s="8">
        <v>1.6</v>
      </c>
      <c r="G164" s="8">
        <f t="shared" si="5"/>
        <v>0</v>
      </c>
      <c r="H164" s="8">
        <v>7500</v>
      </c>
    </row>
    <row r="165" spans="1:8" x14ac:dyDescent="0.25">
      <c r="A165" s="8" t="s">
        <v>156</v>
      </c>
      <c r="B165" s="8">
        <v>1</v>
      </c>
      <c r="C165" s="8">
        <v>137.21</v>
      </c>
      <c r="D165" s="8"/>
      <c r="E165" s="8">
        <f t="shared" si="4"/>
        <v>0</v>
      </c>
      <c r="F165" s="8">
        <v>1.6</v>
      </c>
      <c r="G165" s="8">
        <f t="shared" si="5"/>
        <v>0</v>
      </c>
      <c r="H165" s="8">
        <v>220</v>
      </c>
    </row>
    <row r="166" spans="1:8" x14ac:dyDescent="0.25">
      <c r="A166" s="8" t="s">
        <v>157</v>
      </c>
      <c r="B166" s="8">
        <v>1</v>
      </c>
      <c r="C166" s="8">
        <v>67.38</v>
      </c>
      <c r="D166" s="8"/>
      <c r="E166" s="8">
        <f t="shared" si="4"/>
        <v>0</v>
      </c>
      <c r="F166" s="8">
        <v>1.6</v>
      </c>
      <c r="G166" s="8">
        <f t="shared" si="5"/>
        <v>0</v>
      </c>
      <c r="H166" s="8">
        <v>110</v>
      </c>
    </row>
    <row r="167" spans="1:8" x14ac:dyDescent="0.25">
      <c r="A167" s="128" t="s">
        <v>158</v>
      </c>
      <c r="B167" s="128"/>
      <c r="C167" s="128"/>
      <c r="D167" s="128"/>
      <c r="E167" s="8">
        <f t="shared" si="4"/>
        <v>0</v>
      </c>
      <c r="F167" s="128"/>
      <c r="G167" s="128">
        <f t="shared" si="5"/>
        <v>0</v>
      </c>
      <c r="H167" s="128"/>
    </row>
    <row r="168" spans="1:8" x14ac:dyDescent="0.25">
      <c r="A168" s="8" t="s">
        <v>160</v>
      </c>
      <c r="B168" s="8">
        <v>1</v>
      </c>
      <c r="C168" s="8">
        <v>314.42</v>
      </c>
      <c r="D168" s="8"/>
      <c r="E168" s="8">
        <f t="shared" si="4"/>
        <v>0</v>
      </c>
      <c r="F168" s="8">
        <v>1.6</v>
      </c>
      <c r="G168" s="8">
        <f t="shared" si="5"/>
        <v>0</v>
      </c>
      <c r="H168" s="8">
        <v>510</v>
      </c>
    </row>
    <row r="169" spans="1:8" x14ac:dyDescent="0.25">
      <c r="A169" s="8" t="s">
        <v>159</v>
      </c>
      <c r="B169" s="8">
        <v>1</v>
      </c>
      <c r="C169" s="8">
        <v>1108.75</v>
      </c>
      <c r="D169" s="8"/>
      <c r="E169" s="8">
        <f t="shared" si="4"/>
        <v>0</v>
      </c>
      <c r="F169" s="8">
        <v>1.6</v>
      </c>
      <c r="G169" s="8">
        <f t="shared" si="5"/>
        <v>0</v>
      </c>
      <c r="H169" s="8">
        <v>1780</v>
      </c>
    </row>
    <row r="170" spans="1:8" x14ac:dyDescent="0.25">
      <c r="A170" s="128" t="s">
        <v>161</v>
      </c>
      <c r="B170" s="128"/>
      <c r="C170" s="128"/>
      <c r="D170" s="128"/>
      <c r="E170" s="8">
        <f t="shared" si="4"/>
        <v>0</v>
      </c>
      <c r="F170" s="128"/>
      <c r="G170" s="128">
        <f t="shared" si="5"/>
        <v>0</v>
      </c>
      <c r="H170" s="128"/>
    </row>
    <row r="171" spans="1:8" x14ac:dyDescent="0.25">
      <c r="A171" s="8" t="s">
        <v>162</v>
      </c>
      <c r="B171" s="8">
        <v>1</v>
      </c>
      <c r="C171" s="8">
        <v>10440.049999999999</v>
      </c>
      <c r="D171" s="8"/>
      <c r="E171" s="8">
        <f t="shared" si="4"/>
        <v>0</v>
      </c>
      <c r="F171" s="8">
        <v>1.6</v>
      </c>
      <c r="G171" s="8">
        <f t="shared" si="5"/>
        <v>0</v>
      </c>
      <c r="H171" s="8">
        <v>1670</v>
      </c>
    </row>
    <row r="172" spans="1:8" x14ac:dyDescent="0.25">
      <c r="A172" s="8" t="s">
        <v>256</v>
      </c>
      <c r="B172" s="8">
        <v>1</v>
      </c>
      <c r="C172" s="8">
        <v>9128.92</v>
      </c>
      <c r="D172" s="8"/>
      <c r="E172" s="8">
        <f t="shared" si="4"/>
        <v>0</v>
      </c>
      <c r="F172" s="8">
        <v>1.6</v>
      </c>
      <c r="G172" s="8">
        <f t="shared" si="5"/>
        <v>0</v>
      </c>
      <c r="H172" s="8">
        <v>14610</v>
      </c>
    </row>
    <row r="173" spans="1:8" x14ac:dyDescent="0.25">
      <c r="A173" s="8" t="s">
        <v>163</v>
      </c>
      <c r="B173" s="8">
        <v>100</v>
      </c>
      <c r="C173" s="8">
        <v>19243.900000000001</v>
      </c>
      <c r="D173" s="8"/>
      <c r="E173" s="8">
        <f t="shared" si="4"/>
        <v>0</v>
      </c>
      <c r="F173" s="8">
        <v>1.6</v>
      </c>
      <c r="G173" s="8">
        <f t="shared" si="5"/>
        <v>0</v>
      </c>
      <c r="H173" s="8">
        <v>3080</v>
      </c>
    </row>
    <row r="174" spans="1:8" x14ac:dyDescent="0.25">
      <c r="A174" s="8" t="s">
        <v>164</v>
      </c>
      <c r="B174" s="8">
        <v>1</v>
      </c>
      <c r="C174" s="8">
        <v>15184.34</v>
      </c>
      <c r="D174" s="8"/>
      <c r="E174" s="8">
        <f t="shared" si="4"/>
        <v>0</v>
      </c>
      <c r="F174" s="8">
        <v>1.6</v>
      </c>
      <c r="G174" s="8">
        <f t="shared" si="5"/>
        <v>0</v>
      </c>
      <c r="H174" s="8">
        <v>2430</v>
      </c>
    </row>
    <row r="175" spans="1:8" x14ac:dyDescent="0.25">
      <c r="A175" s="8" t="s">
        <v>165</v>
      </c>
      <c r="B175" s="8">
        <v>100</v>
      </c>
      <c r="C175" s="8">
        <v>213.6</v>
      </c>
      <c r="D175" s="8"/>
      <c r="E175" s="8">
        <f t="shared" si="4"/>
        <v>0</v>
      </c>
      <c r="F175" s="8">
        <v>1.6</v>
      </c>
      <c r="G175" s="8">
        <f t="shared" si="5"/>
        <v>0</v>
      </c>
      <c r="H175" s="8">
        <v>350</v>
      </c>
    </row>
    <row r="176" spans="1:8" x14ac:dyDescent="0.25">
      <c r="A176" s="8" t="s">
        <v>166</v>
      </c>
      <c r="B176" s="8">
        <v>100</v>
      </c>
      <c r="C176" s="8">
        <v>1316.16</v>
      </c>
      <c r="D176" s="8"/>
      <c r="E176" s="8">
        <f t="shared" si="4"/>
        <v>0</v>
      </c>
      <c r="F176" s="8">
        <v>1.6</v>
      </c>
      <c r="G176" s="8">
        <f t="shared" si="5"/>
        <v>0</v>
      </c>
      <c r="H176" s="8">
        <v>2110</v>
      </c>
    </row>
    <row r="177" spans="1:8" x14ac:dyDescent="0.25">
      <c r="A177" s="128" t="s">
        <v>167</v>
      </c>
      <c r="B177" s="128"/>
      <c r="C177" s="128"/>
      <c r="D177" s="128"/>
      <c r="E177" s="8">
        <f t="shared" si="4"/>
        <v>0</v>
      </c>
      <c r="F177" s="128"/>
      <c r="G177" s="128">
        <f t="shared" si="5"/>
        <v>0</v>
      </c>
      <c r="H177" s="128"/>
    </row>
    <row r="178" spans="1:8" x14ac:dyDescent="0.25">
      <c r="A178" s="8" t="s">
        <v>168</v>
      </c>
      <c r="B178" s="8">
        <v>100</v>
      </c>
      <c r="C178" s="8">
        <v>2659.69</v>
      </c>
      <c r="D178" s="8"/>
      <c r="E178" s="8">
        <f t="shared" si="4"/>
        <v>0</v>
      </c>
      <c r="F178" s="8">
        <v>1.6</v>
      </c>
      <c r="G178" s="8">
        <f t="shared" si="5"/>
        <v>0</v>
      </c>
      <c r="H178" s="8">
        <v>4260</v>
      </c>
    </row>
    <row r="179" spans="1:8" x14ac:dyDescent="0.25">
      <c r="A179" s="8" t="s">
        <v>169</v>
      </c>
      <c r="B179" s="8">
        <v>100</v>
      </c>
      <c r="C179" s="8">
        <v>5096.03</v>
      </c>
      <c r="D179" s="8"/>
      <c r="E179" s="8">
        <f t="shared" si="4"/>
        <v>0</v>
      </c>
      <c r="F179" s="8">
        <v>1.6</v>
      </c>
      <c r="G179" s="8">
        <f t="shared" si="5"/>
        <v>0</v>
      </c>
      <c r="H179" s="8">
        <v>8160</v>
      </c>
    </row>
    <row r="180" spans="1:8" x14ac:dyDescent="0.25">
      <c r="A180" s="128" t="s">
        <v>170</v>
      </c>
      <c r="B180" s="128"/>
      <c r="C180" s="128"/>
      <c r="D180" s="128"/>
      <c r="E180" s="8">
        <f t="shared" si="4"/>
        <v>0</v>
      </c>
      <c r="F180" s="128"/>
      <c r="G180" s="128">
        <f t="shared" si="5"/>
        <v>0</v>
      </c>
      <c r="H180" s="128"/>
    </row>
    <row r="181" spans="1:8" x14ac:dyDescent="0.25">
      <c r="A181" s="8" t="s">
        <v>234</v>
      </c>
      <c r="B181" s="8">
        <v>1</v>
      </c>
      <c r="C181" s="8">
        <v>60.11</v>
      </c>
      <c r="D181" s="8"/>
      <c r="E181" s="8">
        <f t="shared" si="4"/>
        <v>0</v>
      </c>
      <c r="F181" s="8">
        <v>1.6</v>
      </c>
      <c r="G181" s="8">
        <f t="shared" si="5"/>
        <v>0</v>
      </c>
      <c r="H181" s="8">
        <v>100</v>
      </c>
    </row>
    <row r="182" spans="1:8" x14ac:dyDescent="0.25">
      <c r="A182" s="8" t="s">
        <v>171</v>
      </c>
      <c r="B182" s="8">
        <v>1</v>
      </c>
      <c r="C182" s="8">
        <v>49.5</v>
      </c>
      <c r="D182" s="8"/>
      <c r="E182" s="8">
        <f t="shared" si="4"/>
        <v>0</v>
      </c>
      <c r="F182" s="8">
        <v>1.6</v>
      </c>
      <c r="G182" s="8">
        <f t="shared" si="5"/>
        <v>0</v>
      </c>
      <c r="H182" s="8">
        <v>80</v>
      </c>
    </row>
    <row r="183" spans="1:8" x14ac:dyDescent="0.25">
      <c r="A183" s="8" t="s">
        <v>172</v>
      </c>
      <c r="B183" s="8">
        <v>1</v>
      </c>
      <c r="C183" s="8">
        <v>69.12</v>
      </c>
      <c r="D183" s="8"/>
      <c r="E183" s="8">
        <f t="shared" si="4"/>
        <v>0</v>
      </c>
      <c r="F183" s="8">
        <v>1.6</v>
      </c>
      <c r="G183" s="8">
        <f t="shared" si="5"/>
        <v>0</v>
      </c>
      <c r="H183" s="8">
        <v>115</v>
      </c>
    </row>
    <row r="184" spans="1:8" x14ac:dyDescent="0.25">
      <c r="A184" s="8" t="s">
        <v>174</v>
      </c>
      <c r="B184" s="8">
        <v>1</v>
      </c>
      <c r="C184" s="8">
        <v>109</v>
      </c>
      <c r="D184" s="8"/>
      <c r="E184" s="8">
        <f t="shared" si="4"/>
        <v>0</v>
      </c>
      <c r="F184" s="8">
        <v>1.6</v>
      </c>
      <c r="G184" s="8">
        <f t="shared" si="5"/>
        <v>0</v>
      </c>
      <c r="H184" s="8">
        <v>180</v>
      </c>
    </row>
    <row r="185" spans="1:8" x14ac:dyDescent="0.25">
      <c r="A185" s="8" t="s">
        <v>173</v>
      </c>
      <c r="B185" s="8">
        <v>1</v>
      </c>
      <c r="C185" s="8">
        <v>142</v>
      </c>
      <c r="D185" s="8"/>
      <c r="E185" s="8">
        <f t="shared" si="4"/>
        <v>0</v>
      </c>
      <c r="F185" s="8">
        <v>1.6</v>
      </c>
      <c r="G185" s="8">
        <f t="shared" si="5"/>
        <v>0</v>
      </c>
      <c r="H185" s="8">
        <v>230</v>
      </c>
    </row>
    <row r="186" spans="1:8" x14ac:dyDescent="0.25">
      <c r="A186" s="128" t="s">
        <v>175</v>
      </c>
      <c r="B186" s="128"/>
      <c r="C186" s="128"/>
      <c r="D186" s="128"/>
      <c r="E186" s="8">
        <f t="shared" si="4"/>
        <v>0</v>
      </c>
      <c r="F186" s="128"/>
      <c r="G186" s="128">
        <f t="shared" si="5"/>
        <v>0</v>
      </c>
      <c r="H186" s="128"/>
    </row>
    <row r="187" spans="1:8" x14ac:dyDescent="0.25">
      <c r="A187" s="8" t="s">
        <v>176</v>
      </c>
      <c r="B187" s="8">
        <v>100</v>
      </c>
      <c r="C187" s="8">
        <v>1574.75</v>
      </c>
      <c r="D187" s="8"/>
      <c r="E187" s="8">
        <f t="shared" si="4"/>
        <v>0</v>
      </c>
      <c r="F187" s="8">
        <v>1.6</v>
      </c>
      <c r="G187" s="8">
        <f t="shared" si="5"/>
        <v>0</v>
      </c>
      <c r="H187" s="8">
        <v>2520</v>
      </c>
    </row>
    <row r="188" spans="1:8" x14ac:dyDescent="0.25">
      <c r="A188" s="8" t="s">
        <v>177</v>
      </c>
      <c r="B188" s="8">
        <v>100</v>
      </c>
      <c r="C188" s="8">
        <v>1530.9</v>
      </c>
      <c r="D188" s="8"/>
      <c r="E188" s="8">
        <f t="shared" si="4"/>
        <v>0</v>
      </c>
      <c r="F188" s="8">
        <v>1.6</v>
      </c>
      <c r="G188" s="8">
        <f t="shared" si="5"/>
        <v>0</v>
      </c>
      <c r="H188" s="8">
        <v>2500</v>
      </c>
    </row>
    <row r="189" spans="1:8" x14ac:dyDescent="0.25">
      <c r="A189" s="8" t="s">
        <v>178</v>
      </c>
      <c r="B189" s="8">
        <v>100</v>
      </c>
      <c r="C189" s="8">
        <v>1984.5</v>
      </c>
      <c r="D189" s="8"/>
      <c r="E189" s="8">
        <f t="shared" si="4"/>
        <v>0</v>
      </c>
      <c r="F189" s="8">
        <v>1.6</v>
      </c>
      <c r="G189" s="8">
        <f t="shared" si="5"/>
        <v>0</v>
      </c>
      <c r="H189" s="8">
        <v>3180</v>
      </c>
    </row>
    <row r="190" spans="1:8" x14ac:dyDescent="0.25">
      <c r="A190" s="8" t="s">
        <v>179</v>
      </c>
      <c r="B190" s="8">
        <v>1</v>
      </c>
      <c r="C190" s="8">
        <v>64.92</v>
      </c>
      <c r="D190" s="8"/>
      <c r="E190" s="8">
        <f t="shared" si="4"/>
        <v>0</v>
      </c>
      <c r="F190" s="8">
        <v>1.6</v>
      </c>
      <c r="G190" s="8">
        <f t="shared" si="5"/>
        <v>0</v>
      </c>
      <c r="H190" s="8">
        <v>105</v>
      </c>
    </row>
    <row r="191" spans="1:8" x14ac:dyDescent="0.25">
      <c r="A191" s="8" t="s">
        <v>180</v>
      </c>
      <c r="B191" s="8">
        <v>100</v>
      </c>
      <c r="C191" s="8">
        <v>3740</v>
      </c>
      <c r="D191" s="8"/>
      <c r="E191" s="8">
        <f t="shared" si="4"/>
        <v>0</v>
      </c>
      <c r="F191" s="8">
        <v>1.6</v>
      </c>
      <c r="G191" s="8">
        <f t="shared" si="5"/>
        <v>0</v>
      </c>
      <c r="H191" s="8">
        <v>5990</v>
      </c>
    </row>
    <row r="192" spans="1:8" x14ac:dyDescent="0.25">
      <c r="A192" s="8" t="s">
        <v>181</v>
      </c>
      <c r="B192" s="8">
        <v>100</v>
      </c>
      <c r="C192" s="8">
        <v>1610</v>
      </c>
      <c r="D192" s="8"/>
      <c r="E192" s="8">
        <f t="shared" si="4"/>
        <v>0</v>
      </c>
      <c r="F192" s="8">
        <v>1.6</v>
      </c>
      <c r="G192" s="8">
        <f t="shared" si="5"/>
        <v>0</v>
      </c>
      <c r="H192" s="8">
        <v>2580</v>
      </c>
    </row>
    <row r="193" spans="1:8" x14ac:dyDescent="0.25">
      <c r="A193" s="8" t="s">
        <v>261</v>
      </c>
      <c r="B193" s="8">
        <v>100</v>
      </c>
      <c r="C193" s="8">
        <v>25740.15</v>
      </c>
      <c r="D193" s="8"/>
      <c r="E193" s="8">
        <f t="shared" si="4"/>
        <v>0</v>
      </c>
      <c r="F193" s="8">
        <v>1.6</v>
      </c>
      <c r="G193" s="8">
        <f t="shared" si="5"/>
        <v>0</v>
      </c>
      <c r="H193" s="8">
        <v>41190</v>
      </c>
    </row>
    <row r="194" spans="1:8" x14ac:dyDescent="0.25">
      <c r="A194" s="8" t="s">
        <v>262</v>
      </c>
      <c r="B194" s="8">
        <v>100</v>
      </c>
      <c r="C194" s="8">
        <v>37522.49</v>
      </c>
      <c r="D194" s="8"/>
      <c r="E194" s="8">
        <f t="shared" si="4"/>
        <v>0</v>
      </c>
      <c r="F194" s="8">
        <v>1.6</v>
      </c>
      <c r="G194" s="8">
        <f t="shared" si="5"/>
        <v>0</v>
      </c>
      <c r="H194" s="8">
        <v>60040</v>
      </c>
    </row>
    <row r="195" spans="1:8" x14ac:dyDescent="0.25">
      <c r="A195" s="128" t="s">
        <v>184</v>
      </c>
      <c r="B195" s="128"/>
      <c r="C195" s="128"/>
      <c r="D195" s="128"/>
      <c r="E195" s="8">
        <f t="shared" si="4"/>
        <v>0</v>
      </c>
      <c r="F195" s="128"/>
      <c r="G195" s="128">
        <f t="shared" si="5"/>
        <v>0</v>
      </c>
      <c r="H195" s="128"/>
    </row>
    <row r="196" spans="1:8" x14ac:dyDescent="0.25">
      <c r="A196" s="8" t="s">
        <v>185</v>
      </c>
      <c r="B196" s="8">
        <v>1</v>
      </c>
      <c r="C196" s="8">
        <v>5334.95</v>
      </c>
      <c r="D196" s="8"/>
      <c r="E196" s="8">
        <f t="shared" si="4"/>
        <v>0</v>
      </c>
      <c r="F196" s="8">
        <v>1.6</v>
      </c>
      <c r="G196" s="8">
        <f t="shared" si="5"/>
        <v>0</v>
      </c>
      <c r="H196" s="8">
        <v>8540</v>
      </c>
    </row>
    <row r="197" spans="1:8" x14ac:dyDescent="0.25">
      <c r="A197" s="8" t="s">
        <v>186</v>
      </c>
      <c r="B197" s="8">
        <v>1</v>
      </c>
      <c r="C197" s="8">
        <v>3627.77</v>
      </c>
      <c r="D197" s="8"/>
      <c r="E197" s="8">
        <f t="shared" ref="E197:E254" si="6">C197*D197</f>
        <v>0</v>
      </c>
      <c r="F197" s="8">
        <v>1.6</v>
      </c>
      <c r="G197" s="8">
        <f t="shared" si="5"/>
        <v>0</v>
      </c>
      <c r="H197" s="8">
        <v>5810</v>
      </c>
    </row>
    <row r="198" spans="1:8" x14ac:dyDescent="0.25">
      <c r="A198" s="8" t="s">
        <v>187</v>
      </c>
      <c r="B198" s="8">
        <v>1</v>
      </c>
      <c r="C198" s="8">
        <v>4161.2700000000004</v>
      </c>
      <c r="D198" s="8"/>
      <c r="E198" s="8">
        <f t="shared" si="6"/>
        <v>0</v>
      </c>
      <c r="F198" s="8">
        <v>1.6</v>
      </c>
      <c r="G198" s="8">
        <f t="shared" ref="G198:G254" si="7">E198*F198</f>
        <v>0</v>
      </c>
      <c r="H198" s="8">
        <v>6660</v>
      </c>
    </row>
    <row r="199" spans="1:8" x14ac:dyDescent="0.25">
      <c r="A199" s="128" t="s">
        <v>253</v>
      </c>
      <c r="B199" s="128"/>
      <c r="C199" s="128"/>
      <c r="D199" s="128"/>
      <c r="E199" s="8">
        <f t="shared" si="6"/>
        <v>0</v>
      </c>
      <c r="F199" s="128"/>
      <c r="G199" s="128">
        <f t="shared" si="7"/>
        <v>0</v>
      </c>
      <c r="H199" s="128"/>
    </row>
    <row r="200" spans="1:8" x14ac:dyDescent="0.25">
      <c r="A200" s="8" t="s">
        <v>188</v>
      </c>
      <c r="B200" s="8">
        <v>1</v>
      </c>
      <c r="C200" s="8">
        <v>1210.0999999999999</v>
      </c>
      <c r="D200" s="8"/>
      <c r="E200" s="8">
        <f t="shared" si="6"/>
        <v>0</v>
      </c>
      <c r="F200" s="8">
        <v>1.6</v>
      </c>
      <c r="G200" s="8">
        <f t="shared" si="7"/>
        <v>0</v>
      </c>
      <c r="H200" s="8">
        <v>1940</v>
      </c>
    </row>
    <row r="201" spans="1:8" x14ac:dyDescent="0.25">
      <c r="A201" s="8" t="s">
        <v>244</v>
      </c>
      <c r="B201" s="8">
        <v>10</v>
      </c>
      <c r="C201" s="8">
        <v>2923.92</v>
      </c>
      <c r="D201" s="8"/>
      <c r="E201" s="8">
        <f t="shared" si="6"/>
        <v>0</v>
      </c>
      <c r="F201" s="8">
        <v>1.6</v>
      </c>
      <c r="G201" s="8">
        <f t="shared" si="7"/>
        <v>0</v>
      </c>
      <c r="H201" s="8">
        <v>4680</v>
      </c>
    </row>
    <row r="202" spans="1:8" x14ac:dyDescent="0.25">
      <c r="A202" s="8" t="s">
        <v>245</v>
      </c>
      <c r="B202" s="8">
        <v>1</v>
      </c>
      <c r="C202" s="8">
        <v>1768.5</v>
      </c>
      <c r="D202" s="8"/>
      <c r="E202" s="8">
        <f t="shared" si="6"/>
        <v>0</v>
      </c>
      <c r="F202" s="8">
        <v>1.6</v>
      </c>
      <c r="G202" s="8">
        <f t="shared" si="7"/>
        <v>0</v>
      </c>
      <c r="H202" s="8">
        <v>2930</v>
      </c>
    </row>
    <row r="203" spans="1:8" x14ac:dyDescent="0.25">
      <c r="A203" s="8" t="s">
        <v>189</v>
      </c>
      <c r="B203" s="8">
        <v>1</v>
      </c>
      <c r="C203" s="8">
        <v>3844.79</v>
      </c>
      <c r="D203" s="8"/>
      <c r="E203" s="8">
        <f t="shared" si="6"/>
        <v>0</v>
      </c>
      <c r="F203" s="8">
        <v>1.6</v>
      </c>
      <c r="G203" s="8">
        <f t="shared" si="7"/>
        <v>0</v>
      </c>
      <c r="H203" s="8">
        <v>6160</v>
      </c>
    </row>
    <row r="204" spans="1:8" x14ac:dyDescent="0.25">
      <c r="A204" s="8" t="s">
        <v>190</v>
      </c>
      <c r="B204" s="8">
        <v>100</v>
      </c>
      <c r="C204" s="8">
        <v>386.17</v>
      </c>
      <c r="D204" s="8">
        <v>1.21</v>
      </c>
      <c r="E204" s="8">
        <f t="shared" si="6"/>
        <v>467.26569999999998</v>
      </c>
      <c r="F204" s="8">
        <v>1.6</v>
      </c>
      <c r="G204" s="8">
        <f t="shared" si="7"/>
        <v>747.62512000000004</v>
      </c>
      <c r="H204" s="8">
        <v>850</v>
      </c>
    </row>
    <row r="205" spans="1:8" x14ac:dyDescent="0.25">
      <c r="A205" s="8" t="s">
        <v>254</v>
      </c>
      <c r="B205" s="8">
        <v>100</v>
      </c>
      <c r="C205" s="8">
        <v>3800</v>
      </c>
      <c r="D205" s="8"/>
      <c r="E205" s="8">
        <f t="shared" si="6"/>
        <v>0</v>
      </c>
      <c r="F205" s="8">
        <v>1.6</v>
      </c>
      <c r="G205" s="8">
        <f t="shared" si="7"/>
        <v>0</v>
      </c>
      <c r="H205" s="8">
        <v>6080</v>
      </c>
    </row>
    <row r="206" spans="1:8" x14ac:dyDescent="0.25">
      <c r="A206" s="8" t="s">
        <v>255</v>
      </c>
      <c r="B206" s="8">
        <v>1</v>
      </c>
      <c r="C206" s="8">
        <v>3667.04</v>
      </c>
      <c r="D206" s="8"/>
      <c r="E206" s="8">
        <f t="shared" si="6"/>
        <v>0</v>
      </c>
      <c r="F206" s="8">
        <v>1.6</v>
      </c>
      <c r="G206" s="8">
        <f t="shared" si="7"/>
        <v>0</v>
      </c>
      <c r="H206" s="8">
        <v>5870</v>
      </c>
    </row>
    <row r="207" spans="1:8" x14ac:dyDescent="0.25">
      <c r="A207" s="8" t="s">
        <v>193</v>
      </c>
      <c r="B207" s="8">
        <v>100</v>
      </c>
      <c r="C207" s="8">
        <v>384.14</v>
      </c>
      <c r="D207" s="8"/>
      <c r="E207" s="8">
        <f t="shared" si="6"/>
        <v>0</v>
      </c>
      <c r="F207" s="8">
        <v>1.6</v>
      </c>
      <c r="G207" s="8">
        <f t="shared" si="7"/>
        <v>0</v>
      </c>
      <c r="H207" s="8">
        <v>620</v>
      </c>
    </row>
    <row r="208" spans="1:8" x14ac:dyDescent="0.25">
      <c r="A208" s="8" t="s">
        <v>194</v>
      </c>
      <c r="B208" s="8">
        <v>1</v>
      </c>
      <c r="C208" s="8">
        <v>3841.36</v>
      </c>
      <c r="D208" s="8"/>
      <c r="E208" s="8">
        <f t="shared" si="6"/>
        <v>0</v>
      </c>
      <c r="F208" s="8">
        <v>1.6</v>
      </c>
      <c r="G208" s="8">
        <f t="shared" si="7"/>
        <v>0</v>
      </c>
      <c r="H208" s="8">
        <v>6150</v>
      </c>
    </row>
    <row r="209" spans="1:8" x14ac:dyDescent="0.25">
      <c r="A209" s="8" t="s">
        <v>195</v>
      </c>
      <c r="B209" s="8">
        <v>1</v>
      </c>
      <c r="C209" s="8">
        <v>3389.19</v>
      </c>
      <c r="D209" s="8"/>
      <c r="E209" s="8">
        <f t="shared" si="6"/>
        <v>0</v>
      </c>
      <c r="F209" s="8">
        <v>1.6</v>
      </c>
      <c r="G209" s="8">
        <f t="shared" si="7"/>
        <v>0</v>
      </c>
      <c r="H209" s="8">
        <v>5430</v>
      </c>
    </row>
    <row r="210" spans="1:8" x14ac:dyDescent="0.25">
      <c r="A210" s="8" t="s">
        <v>196</v>
      </c>
      <c r="B210" s="8">
        <v>1</v>
      </c>
      <c r="C210" s="8">
        <v>822.74</v>
      </c>
      <c r="D210" s="8"/>
      <c r="E210" s="8">
        <f t="shared" si="6"/>
        <v>0</v>
      </c>
      <c r="F210" s="8">
        <v>1.6</v>
      </c>
      <c r="G210" s="8">
        <f t="shared" si="7"/>
        <v>0</v>
      </c>
      <c r="H210" s="8">
        <v>1320</v>
      </c>
    </row>
    <row r="211" spans="1:8" x14ac:dyDescent="0.25">
      <c r="A211" s="8" t="s">
        <v>197</v>
      </c>
      <c r="B211" s="8">
        <v>1</v>
      </c>
      <c r="C211" s="8">
        <v>781.34</v>
      </c>
      <c r="D211" s="8"/>
      <c r="E211" s="8">
        <f t="shared" si="6"/>
        <v>0</v>
      </c>
      <c r="F211" s="8">
        <v>1.6</v>
      </c>
      <c r="G211" s="8">
        <f t="shared" si="7"/>
        <v>0</v>
      </c>
      <c r="H211" s="8">
        <v>1250</v>
      </c>
    </row>
    <row r="212" spans="1:8" x14ac:dyDescent="0.25">
      <c r="A212" s="8" t="s">
        <v>198</v>
      </c>
      <c r="B212" s="8">
        <v>1</v>
      </c>
      <c r="C212" s="8">
        <v>1161.7</v>
      </c>
      <c r="D212" s="8"/>
      <c r="E212" s="8">
        <f t="shared" si="6"/>
        <v>0</v>
      </c>
      <c r="F212" s="8">
        <v>1.6</v>
      </c>
      <c r="G212" s="8">
        <f t="shared" si="7"/>
        <v>0</v>
      </c>
      <c r="H212" s="8">
        <v>1860</v>
      </c>
    </row>
    <row r="213" spans="1:8" x14ac:dyDescent="0.25">
      <c r="A213" s="8" t="s">
        <v>199</v>
      </c>
      <c r="B213" s="8" t="s">
        <v>141</v>
      </c>
      <c r="C213" s="8">
        <v>1786.84</v>
      </c>
      <c r="D213" s="8"/>
      <c r="E213" s="8">
        <f t="shared" si="6"/>
        <v>0</v>
      </c>
      <c r="F213" s="8">
        <v>1.6</v>
      </c>
      <c r="G213" s="8">
        <f t="shared" si="7"/>
        <v>0</v>
      </c>
      <c r="H213" s="8">
        <v>2860</v>
      </c>
    </row>
    <row r="214" spans="1:8" x14ac:dyDescent="0.25">
      <c r="A214" s="8" t="s">
        <v>6</v>
      </c>
      <c r="B214" s="8">
        <v>1</v>
      </c>
      <c r="C214" s="8">
        <v>1056.03</v>
      </c>
      <c r="D214" s="8"/>
      <c r="E214" s="8">
        <f t="shared" si="6"/>
        <v>0</v>
      </c>
      <c r="F214" s="8">
        <v>1.6</v>
      </c>
      <c r="G214" s="8">
        <f t="shared" si="7"/>
        <v>0</v>
      </c>
      <c r="H214" s="8">
        <v>1690</v>
      </c>
    </row>
    <row r="215" spans="1:8" x14ac:dyDescent="0.25">
      <c r="A215" s="8" t="s">
        <v>200</v>
      </c>
      <c r="B215" s="8">
        <v>1</v>
      </c>
      <c r="C215" s="8">
        <v>380</v>
      </c>
      <c r="D215" s="8"/>
      <c r="E215" s="8">
        <f t="shared" si="6"/>
        <v>0</v>
      </c>
      <c r="F215" s="8">
        <v>1.6</v>
      </c>
      <c r="G215" s="8">
        <f t="shared" si="7"/>
        <v>0</v>
      </c>
      <c r="H215" s="8">
        <v>610</v>
      </c>
    </row>
    <row r="216" spans="1:8" x14ac:dyDescent="0.25">
      <c r="A216" s="8" t="s">
        <v>201</v>
      </c>
      <c r="B216" s="8">
        <v>1</v>
      </c>
      <c r="C216" s="8">
        <v>1000</v>
      </c>
      <c r="D216" s="8"/>
      <c r="E216" s="8">
        <f t="shared" si="6"/>
        <v>0</v>
      </c>
      <c r="F216" s="8">
        <v>1.6</v>
      </c>
      <c r="G216" s="8">
        <f t="shared" si="7"/>
        <v>0</v>
      </c>
      <c r="H216" s="8">
        <v>1600</v>
      </c>
    </row>
    <row r="217" spans="1:8" x14ac:dyDescent="0.25">
      <c r="A217" s="8" t="s">
        <v>202</v>
      </c>
      <c r="B217" s="8">
        <v>1</v>
      </c>
      <c r="C217" s="8">
        <v>1205</v>
      </c>
      <c r="D217" s="8"/>
      <c r="E217" s="8">
        <f t="shared" si="6"/>
        <v>0</v>
      </c>
      <c r="F217" s="8">
        <v>1.6</v>
      </c>
      <c r="G217" s="8">
        <f t="shared" si="7"/>
        <v>0</v>
      </c>
      <c r="H217" s="8">
        <v>1930</v>
      </c>
    </row>
    <row r="218" spans="1:8" x14ac:dyDescent="0.25">
      <c r="A218" s="8" t="s">
        <v>284</v>
      </c>
      <c r="B218" s="8">
        <v>1</v>
      </c>
      <c r="C218" s="8">
        <v>497.97</v>
      </c>
      <c r="D218" s="8"/>
      <c r="E218" s="8">
        <f t="shared" si="6"/>
        <v>0</v>
      </c>
      <c r="F218" s="8">
        <v>1.6</v>
      </c>
      <c r="G218" s="8">
        <f t="shared" si="7"/>
        <v>0</v>
      </c>
      <c r="H218" s="8">
        <v>800</v>
      </c>
    </row>
    <row r="219" spans="1:8" x14ac:dyDescent="0.25">
      <c r="A219" s="8" t="s">
        <v>269</v>
      </c>
      <c r="B219" s="8">
        <v>1</v>
      </c>
      <c r="C219" s="8">
        <v>556.89</v>
      </c>
      <c r="D219" s="8"/>
      <c r="E219" s="8">
        <f t="shared" si="6"/>
        <v>0</v>
      </c>
      <c r="F219" s="8">
        <v>1.6</v>
      </c>
      <c r="G219" s="8">
        <f t="shared" si="7"/>
        <v>0</v>
      </c>
      <c r="H219" s="8">
        <v>900</v>
      </c>
    </row>
    <row r="220" spans="1:8" x14ac:dyDescent="0.25">
      <c r="A220" s="8" t="s">
        <v>270</v>
      </c>
      <c r="B220" s="8">
        <v>1</v>
      </c>
      <c r="C220" s="8">
        <v>97.05</v>
      </c>
      <c r="D220" s="8"/>
      <c r="E220" s="8">
        <f t="shared" si="6"/>
        <v>0</v>
      </c>
      <c r="F220" s="8">
        <v>1.6</v>
      </c>
      <c r="G220" s="8">
        <f t="shared" si="7"/>
        <v>0</v>
      </c>
      <c r="H220" s="8">
        <v>160</v>
      </c>
    </row>
    <row r="221" spans="1:8" x14ac:dyDescent="0.25">
      <c r="A221" s="128" t="s">
        <v>204</v>
      </c>
      <c r="B221" s="128"/>
      <c r="C221" s="128"/>
      <c r="D221" s="128"/>
      <c r="E221" s="8">
        <f t="shared" si="6"/>
        <v>0</v>
      </c>
      <c r="F221" s="128"/>
      <c r="G221" s="128">
        <f t="shared" si="7"/>
        <v>0</v>
      </c>
      <c r="H221" s="128"/>
    </row>
    <row r="222" spans="1:8" x14ac:dyDescent="0.25">
      <c r="A222" s="8" t="s">
        <v>205</v>
      </c>
      <c r="B222" s="8">
        <v>1</v>
      </c>
      <c r="C222" s="8">
        <v>806.5</v>
      </c>
      <c r="D222" s="8"/>
      <c r="E222" s="8">
        <f t="shared" si="6"/>
        <v>0</v>
      </c>
      <c r="F222" s="8">
        <v>1.6</v>
      </c>
      <c r="G222" s="8">
        <f t="shared" si="7"/>
        <v>0</v>
      </c>
      <c r="H222" s="8">
        <v>1290</v>
      </c>
    </row>
    <row r="223" spans="1:8" x14ac:dyDescent="0.25">
      <c r="A223" s="8" t="s">
        <v>206</v>
      </c>
      <c r="B223" s="8">
        <v>1</v>
      </c>
      <c r="C223" s="8">
        <v>652.52</v>
      </c>
      <c r="D223" s="8"/>
      <c r="E223" s="8">
        <f t="shared" si="6"/>
        <v>0</v>
      </c>
      <c r="F223" s="8">
        <v>1.6</v>
      </c>
      <c r="G223" s="8">
        <f t="shared" si="7"/>
        <v>0</v>
      </c>
      <c r="H223" s="8">
        <v>1050</v>
      </c>
    </row>
    <row r="224" spans="1:8" x14ac:dyDescent="0.25">
      <c r="A224" s="8" t="s">
        <v>207</v>
      </c>
      <c r="B224" s="8">
        <v>1</v>
      </c>
      <c r="C224" s="8">
        <v>6960</v>
      </c>
      <c r="D224" s="8"/>
      <c r="E224" s="8">
        <f t="shared" si="6"/>
        <v>0</v>
      </c>
      <c r="F224" s="8">
        <v>1.6</v>
      </c>
      <c r="G224" s="8">
        <f t="shared" si="7"/>
        <v>0</v>
      </c>
      <c r="H224" s="8">
        <v>11140</v>
      </c>
    </row>
    <row r="225" spans="1:8" x14ac:dyDescent="0.25">
      <c r="A225" s="8" t="s">
        <v>208</v>
      </c>
      <c r="B225" s="8">
        <v>1</v>
      </c>
      <c r="C225" s="8">
        <v>420.46</v>
      </c>
      <c r="D225" s="8"/>
      <c r="E225" s="8">
        <f t="shared" si="6"/>
        <v>0</v>
      </c>
      <c r="F225" s="8">
        <v>1.6</v>
      </c>
      <c r="G225" s="8">
        <f t="shared" si="7"/>
        <v>0</v>
      </c>
      <c r="H225" s="8">
        <v>680</v>
      </c>
    </row>
    <row r="226" spans="1:8" x14ac:dyDescent="0.25">
      <c r="A226" s="8" t="s">
        <v>209</v>
      </c>
      <c r="B226" s="8">
        <v>1</v>
      </c>
      <c r="C226" s="8">
        <v>1547.71</v>
      </c>
      <c r="D226" s="8"/>
      <c r="E226" s="8">
        <f t="shared" si="6"/>
        <v>0</v>
      </c>
      <c r="F226" s="8">
        <v>1.6</v>
      </c>
      <c r="G226" s="8">
        <f t="shared" si="7"/>
        <v>0</v>
      </c>
      <c r="H226" s="8">
        <v>2480</v>
      </c>
    </row>
    <row r="227" spans="1:8" x14ac:dyDescent="0.25">
      <c r="A227" s="8" t="s">
        <v>210</v>
      </c>
      <c r="B227" s="8">
        <v>1</v>
      </c>
      <c r="C227" s="8">
        <v>7500</v>
      </c>
      <c r="D227" s="8"/>
      <c r="E227" s="8">
        <f t="shared" si="6"/>
        <v>0</v>
      </c>
      <c r="F227" s="8">
        <v>1.6</v>
      </c>
      <c r="G227" s="8">
        <f t="shared" si="7"/>
        <v>0</v>
      </c>
      <c r="H227" s="8">
        <v>12000</v>
      </c>
    </row>
    <row r="228" spans="1:8" x14ac:dyDescent="0.25">
      <c r="A228" s="8" t="s">
        <v>287</v>
      </c>
      <c r="B228" s="8">
        <v>1</v>
      </c>
      <c r="C228" s="8">
        <v>4130.7700000000004</v>
      </c>
      <c r="D228" s="8"/>
      <c r="E228" s="8">
        <f t="shared" si="6"/>
        <v>0</v>
      </c>
      <c r="F228" s="8">
        <v>1.6</v>
      </c>
      <c r="G228" s="8">
        <f t="shared" si="7"/>
        <v>0</v>
      </c>
      <c r="H228" s="8">
        <v>6610</v>
      </c>
    </row>
    <row r="229" spans="1:8" x14ac:dyDescent="0.25">
      <c r="A229" s="8" t="s">
        <v>212</v>
      </c>
      <c r="B229" s="8">
        <v>1</v>
      </c>
      <c r="C229" s="8">
        <v>9546.68</v>
      </c>
      <c r="D229" s="8"/>
      <c r="E229" s="8">
        <f t="shared" si="6"/>
        <v>0</v>
      </c>
      <c r="F229" s="8">
        <v>1.6</v>
      </c>
      <c r="G229" s="8">
        <f t="shared" si="7"/>
        <v>0</v>
      </c>
      <c r="H229" s="8">
        <v>15280</v>
      </c>
    </row>
    <row r="230" spans="1:8" x14ac:dyDescent="0.25">
      <c r="A230" s="8" t="s">
        <v>213</v>
      </c>
      <c r="B230" s="8">
        <v>1</v>
      </c>
      <c r="C230" s="8">
        <v>11931.48</v>
      </c>
      <c r="D230" s="8"/>
      <c r="E230" s="8">
        <f t="shared" si="6"/>
        <v>0</v>
      </c>
      <c r="F230" s="8">
        <v>1.6</v>
      </c>
      <c r="G230" s="8">
        <f t="shared" si="7"/>
        <v>0</v>
      </c>
      <c r="H230" s="8">
        <v>19090</v>
      </c>
    </row>
    <row r="231" spans="1:8" x14ac:dyDescent="0.25">
      <c r="A231" s="8" t="s">
        <v>214</v>
      </c>
      <c r="B231" s="8">
        <v>1</v>
      </c>
      <c r="C231" s="8">
        <v>25465.86</v>
      </c>
      <c r="D231" s="8"/>
      <c r="E231" s="8">
        <f t="shared" si="6"/>
        <v>0</v>
      </c>
      <c r="F231" s="8">
        <v>1.6</v>
      </c>
      <c r="G231" s="8">
        <f t="shared" si="7"/>
        <v>0</v>
      </c>
      <c r="H231" s="8">
        <v>40750</v>
      </c>
    </row>
    <row r="232" spans="1:8" x14ac:dyDescent="0.25">
      <c r="A232" s="8" t="s">
        <v>215</v>
      </c>
      <c r="B232" s="8">
        <v>1</v>
      </c>
      <c r="C232" s="8">
        <v>1391.77</v>
      </c>
      <c r="D232" s="8"/>
      <c r="E232" s="8">
        <f t="shared" si="6"/>
        <v>0</v>
      </c>
      <c r="F232" s="8">
        <v>1.6</v>
      </c>
      <c r="G232" s="8">
        <f t="shared" si="7"/>
        <v>0</v>
      </c>
      <c r="H232" s="8">
        <v>2230</v>
      </c>
    </row>
    <row r="233" spans="1:8" x14ac:dyDescent="0.25">
      <c r="A233" s="128" t="s">
        <v>216</v>
      </c>
      <c r="B233" s="128"/>
      <c r="C233" s="128"/>
      <c r="D233" s="128"/>
      <c r="E233" s="8">
        <f t="shared" si="6"/>
        <v>0</v>
      </c>
      <c r="F233" s="128"/>
      <c r="G233" s="128">
        <f t="shared" si="7"/>
        <v>0</v>
      </c>
      <c r="H233" s="128"/>
    </row>
    <row r="234" spans="1:8" x14ac:dyDescent="0.25">
      <c r="A234" s="8" t="s">
        <v>217</v>
      </c>
      <c r="B234" s="8">
        <v>100</v>
      </c>
      <c r="C234" s="8">
        <v>2074.7399999999998</v>
      </c>
      <c r="D234" s="8"/>
      <c r="E234" s="8">
        <f t="shared" si="6"/>
        <v>0</v>
      </c>
      <c r="F234" s="8">
        <v>1.6</v>
      </c>
      <c r="G234" s="8">
        <f t="shared" si="7"/>
        <v>0</v>
      </c>
      <c r="H234" s="8">
        <v>3320</v>
      </c>
    </row>
    <row r="235" spans="1:8" x14ac:dyDescent="0.25">
      <c r="A235" s="8" t="s">
        <v>218</v>
      </c>
      <c r="B235" s="8">
        <v>50</v>
      </c>
      <c r="C235" s="8">
        <v>1584.05</v>
      </c>
      <c r="D235" s="8"/>
      <c r="E235" s="8">
        <f t="shared" si="6"/>
        <v>0</v>
      </c>
      <c r="F235" s="8">
        <v>1.6</v>
      </c>
      <c r="G235" s="8">
        <f t="shared" si="7"/>
        <v>0</v>
      </c>
      <c r="H235" s="8">
        <v>2540</v>
      </c>
    </row>
    <row r="236" spans="1:8" x14ac:dyDescent="0.25">
      <c r="A236" s="128" t="s">
        <v>219</v>
      </c>
      <c r="B236" s="128"/>
      <c r="C236" s="128"/>
      <c r="D236" s="128"/>
      <c r="E236" s="8">
        <f t="shared" si="6"/>
        <v>0</v>
      </c>
      <c r="F236" s="128"/>
      <c r="G236" s="128">
        <f t="shared" si="7"/>
        <v>0</v>
      </c>
      <c r="H236" s="128"/>
    </row>
    <row r="237" spans="1:8" x14ac:dyDescent="0.25">
      <c r="A237" s="8" t="s">
        <v>220</v>
      </c>
      <c r="B237" s="8">
        <v>1</v>
      </c>
      <c r="C237" s="8">
        <v>1634</v>
      </c>
      <c r="D237" s="8"/>
      <c r="E237" s="8">
        <f t="shared" si="6"/>
        <v>0</v>
      </c>
      <c r="F237" s="8">
        <v>1.6</v>
      </c>
      <c r="G237" s="8">
        <f t="shared" si="7"/>
        <v>0</v>
      </c>
      <c r="H237" s="8">
        <v>265</v>
      </c>
    </row>
    <row r="238" spans="1:8" x14ac:dyDescent="0.25">
      <c r="A238" s="8" t="s">
        <v>221</v>
      </c>
      <c r="B238" s="8">
        <v>1</v>
      </c>
      <c r="C238" s="8">
        <v>92</v>
      </c>
      <c r="D238" s="8"/>
      <c r="E238" s="8">
        <f t="shared" si="6"/>
        <v>0</v>
      </c>
      <c r="F238" s="8">
        <v>1.6</v>
      </c>
      <c r="G238" s="8">
        <f t="shared" si="7"/>
        <v>0</v>
      </c>
      <c r="H238" s="8">
        <v>150</v>
      </c>
    </row>
    <row r="239" spans="1:8" x14ac:dyDescent="0.25">
      <c r="A239" s="8" t="s">
        <v>222</v>
      </c>
      <c r="B239" s="8">
        <v>1</v>
      </c>
      <c r="C239" s="8">
        <v>61.33</v>
      </c>
      <c r="D239" s="8"/>
      <c r="E239" s="8">
        <f t="shared" si="6"/>
        <v>0</v>
      </c>
      <c r="F239" s="8">
        <v>1.6</v>
      </c>
      <c r="G239" s="8">
        <f t="shared" si="7"/>
        <v>0</v>
      </c>
      <c r="H239" s="8">
        <v>100</v>
      </c>
    </row>
    <row r="240" spans="1:8" x14ac:dyDescent="0.25">
      <c r="A240" s="8" t="s">
        <v>223</v>
      </c>
      <c r="B240" s="8">
        <v>1</v>
      </c>
      <c r="C240" s="8">
        <v>73.98</v>
      </c>
      <c r="D240" s="8"/>
      <c r="E240" s="8">
        <f t="shared" si="6"/>
        <v>0</v>
      </c>
      <c r="F240" s="8">
        <v>1.6</v>
      </c>
      <c r="G240" s="8">
        <f t="shared" si="7"/>
        <v>0</v>
      </c>
      <c r="H240" s="8">
        <v>120</v>
      </c>
    </row>
    <row r="241" spans="1:8" x14ac:dyDescent="0.25">
      <c r="A241" s="128" t="s">
        <v>224</v>
      </c>
      <c r="B241" s="128"/>
      <c r="C241" s="128"/>
      <c r="D241" s="128"/>
      <c r="E241" s="8">
        <f t="shared" si="6"/>
        <v>0</v>
      </c>
      <c r="F241" s="128"/>
      <c r="G241" s="128">
        <f t="shared" si="7"/>
        <v>0</v>
      </c>
      <c r="H241" s="128"/>
    </row>
    <row r="242" spans="1:8" x14ac:dyDescent="0.25">
      <c r="A242" s="8" t="s">
        <v>225</v>
      </c>
      <c r="B242" s="8">
        <v>1</v>
      </c>
      <c r="C242" s="8">
        <v>388.85</v>
      </c>
      <c r="D242" s="8"/>
      <c r="E242" s="8">
        <f t="shared" si="6"/>
        <v>0</v>
      </c>
      <c r="F242" s="8">
        <v>1.6</v>
      </c>
      <c r="G242" s="8">
        <f t="shared" si="7"/>
        <v>0</v>
      </c>
      <c r="H242" s="8">
        <v>640</v>
      </c>
    </row>
    <row r="243" spans="1:8" x14ac:dyDescent="0.25">
      <c r="A243" s="8" t="s">
        <v>226</v>
      </c>
      <c r="B243" s="8">
        <v>1</v>
      </c>
      <c r="C243" s="8">
        <v>165</v>
      </c>
      <c r="D243" s="8"/>
      <c r="E243" s="8">
        <f t="shared" si="6"/>
        <v>0</v>
      </c>
      <c r="F243" s="8">
        <v>1.6</v>
      </c>
      <c r="G243" s="8">
        <f t="shared" si="7"/>
        <v>0</v>
      </c>
      <c r="H243" s="8">
        <v>280</v>
      </c>
    </row>
    <row r="244" spans="1:8" x14ac:dyDescent="0.25">
      <c r="A244" s="128" t="s">
        <v>248</v>
      </c>
      <c r="B244" s="128"/>
      <c r="C244" s="128"/>
      <c r="D244" s="128"/>
      <c r="E244" s="8">
        <f t="shared" si="6"/>
        <v>0</v>
      </c>
      <c r="F244" s="128"/>
      <c r="G244" s="128">
        <f t="shared" si="7"/>
        <v>0</v>
      </c>
      <c r="H244" s="128"/>
    </row>
    <row r="245" spans="1:8" x14ac:dyDescent="0.25">
      <c r="A245" s="8" t="s">
        <v>227</v>
      </c>
      <c r="B245" s="8">
        <v>1</v>
      </c>
      <c r="C245" s="8">
        <v>971.25</v>
      </c>
      <c r="D245" s="8"/>
      <c r="E245" s="8">
        <f t="shared" si="6"/>
        <v>0</v>
      </c>
      <c r="F245" s="8">
        <v>1.6</v>
      </c>
      <c r="G245" s="8">
        <f t="shared" si="7"/>
        <v>0</v>
      </c>
      <c r="H245" s="8">
        <v>1560</v>
      </c>
    </row>
    <row r="246" spans="1:8" x14ac:dyDescent="0.25">
      <c r="A246" s="8" t="s">
        <v>228</v>
      </c>
      <c r="B246" s="8">
        <v>1</v>
      </c>
      <c r="C246" s="8">
        <v>180.3</v>
      </c>
      <c r="D246" s="8"/>
      <c r="E246" s="8">
        <f t="shared" si="6"/>
        <v>0</v>
      </c>
      <c r="F246" s="8">
        <v>1.6</v>
      </c>
      <c r="G246" s="8">
        <f t="shared" si="7"/>
        <v>0</v>
      </c>
      <c r="H246" s="8">
        <v>290</v>
      </c>
    </row>
    <row r="247" spans="1:8" x14ac:dyDescent="0.25">
      <c r="A247" s="8" t="s">
        <v>229</v>
      </c>
      <c r="B247" s="8">
        <v>1</v>
      </c>
      <c r="C247" s="8">
        <v>170</v>
      </c>
      <c r="D247" s="8"/>
      <c r="E247" s="8">
        <f t="shared" si="6"/>
        <v>0</v>
      </c>
      <c r="F247" s="8">
        <v>1.6</v>
      </c>
      <c r="G247" s="8">
        <f t="shared" si="7"/>
        <v>0</v>
      </c>
      <c r="H247" s="8">
        <v>280</v>
      </c>
    </row>
    <row r="248" spans="1:8" x14ac:dyDescent="0.25">
      <c r="A248" s="128" t="s">
        <v>251</v>
      </c>
      <c r="B248" s="128"/>
      <c r="C248" s="128"/>
      <c r="D248" s="128"/>
      <c r="E248" s="8">
        <f t="shared" si="6"/>
        <v>0</v>
      </c>
      <c r="F248" s="128"/>
      <c r="G248" s="128">
        <f t="shared" si="7"/>
        <v>0</v>
      </c>
      <c r="H248" s="128"/>
    </row>
    <row r="249" spans="1:8" x14ac:dyDescent="0.25">
      <c r="A249" s="8" t="s">
        <v>252</v>
      </c>
      <c r="B249" s="8">
        <v>1</v>
      </c>
      <c r="C249" s="8">
        <v>5800</v>
      </c>
      <c r="D249" s="8"/>
      <c r="E249" s="8">
        <f t="shared" si="6"/>
        <v>0</v>
      </c>
      <c r="F249" s="8">
        <v>1.6</v>
      </c>
      <c r="G249" s="8">
        <f t="shared" si="7"/>
        <v>0</v>
      </c>
      <c r="H249" s="8">
        <v>9280</v>
      </c>
    </row>
    <row r="250" spans="1:8" x14ac:dyDescent="0.25">
      <c r="A250" s="8" t="s">
        <v>191</v>
      </c>
      <c r="B250" s="8">
        <v>1</v>
      </c>
      <c r="C250" s="8">
        <v>3458.4</v>
      </c>
      <c r="D250" s="8"/>
      <c r="E250" s="8">
        <f t="shared" si="6"/>
        <v>0</v>
      </c>
      <c r="F250" s="8">
        <v>1.6</v>
      </c>
      <c r="G250" s="8">
        <f t="shared" si="7"/>
        <v>0</v>
      </c>
      <c r="H250" s="8">
        <v>5540</v>
      </c>
    </row>
    <row r="251" spans="1:8" x14ac:dyDescent="0.25">
      <c r="A251" s="8" t="s">
        <v>192</v>
      </c>
      <c r="B251" s="8">
        <v>1</v>
      </c>
      <c r="C251" s="8">
        <v>3725.44</v>
      </c>
      <c r="D251" s="8">
        <v>1.1499999999999999</v>
      </c>
      <c r="E251" s="8">
        <f t="shared" si="6"/>
        <v>4284.2559999999994</v>
      </c>
      <c r="F251" s="8">
        <v>1.6</v>
      </c>
      <c r="G251" s="8">
        <f t="shared" si="7"/>
        <v>6854.8095999999996</v>
      </c>
      <c r="H251" s="8">
        <v>7100</v>
      </c>
    </row>
    <row r="252" spans="1:8" x14ac:dyDescent="0.25">
      <c r="A252" s="8" t="s">
        <v>249</v>
      </c>
      <c r="B252" s="8">
        <v>1</v>
      </c>
      <c r="C252" s="8">
        <v>42</v>
      </c>
      <c r="D252" s="8"/>
      <c r="E252" s="8">
        <f t="shared" si="6"/>
        <v>0</v>
      </c>
      <c r="F252" s="8">
        <v>1.6</v>
      </c>
      <c r="G252" s="8">
        <f t="shared" si="7"/>
        <v>0</v>
      </c>
      <c r="H252" s="8">
        <v>70</v>
      </c>
    </row>
    <row r="253" spans="1:8" x14ac:dyDescent="0.25">
      <c r="A253" s="8" t="s">
        <v>250</v>
      </c>
      <c r="B253" s="8">
        <v>100</v>
      </c>
      <c r="C253" s="8">
        <v>8318.81</v>
      </c>
      <c r="D253" s="8"/>
      <c r="E253" s="8">
        <f t="shared" si="6"/>
        <v>0</v>
      </c>
      <c r="F253" s="8">
        <v>1.6</v>
      </c>
      <c r="G253" s="8">
        <f t="shared" si="7"/>
        <v>0</v>
      </c>
      <c r="H253" s="8">
        <v>13310</v>
      </c>
    </row>
    <row r="254" spans="1:8" x14ac:dyDescent="0.25">
      <c r="A254" s="8" t="s">
        <v>203</v>
      </c>
      <c r="B254" s="8">
        <v>1</v>
      </c>
      <c r="C254" s="8">
        <v>9168.69</v>
      </c>
      <c r="D254" s="8"/>
      <c r="E254" s="8">
        <f t="shared" si="6"/>
        <v>0</v>
      </c>
      <c r="F254" s="8">
        <v>1.6</v>
      </c>
      <c r="G254" s="8">
        <f t="shared" si="7"/>
        <v>0</v>
      </c>
      <c r="H254" s="8">
        <v>14670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C8A36-6C34-4CF0-9585-FA92013B6759}">
  <dimension ref="A1:L229"/>
  <sheetViews>
    <sheetView workbookViewId="0">
      <selection activeCell="B21" sqref="B21"/>
    </sheetView>
  </sheetViews>
  <sheetFormatPr baseColWidth="10" defaultRowHeight="13.2" x14ac:dyDescent="0.25"/>
  <cols>
    <col min="1" max="1" width="19" customWidth="1"/>
    <col min="2" max="2" width="14.6640625" customWidth="1"/>
    <col min="3" max="3" width="38.44140625" customWidth="1"/>
    <col min="4" max="4" width="21" customWidth="1"/>
    <col min="5" max="5" width="15" customWidth="1"/>
    <col min="6" max="6" width="10.109375" customWidth="1"/>
    <col min="7" max="7" width="15.33203125" customWidth="1"/>
    <col min="12" max="12" width="17.109375" customWidth="1"/>
  </cols>
  <sheetData>
    <row r="1" spans="1:12" x14ac:dyDescent="0.25">
      <c r="A1" t="s">
        <v>900</v>
      </c>
      <c r="B1" s="96">
        <v>46300</v>
      </c>
    </row>
    <row r="3" spans="1:12" ht="17.399999999999999" x14ac:dyDescent="0.3">
      <c r="A3" s="178" t="s">
        <v>901</v>
      </c>
      <c r="B3" s="179" t="s">
        <v>902</v>
      </c>
      <c r="C3" s="133" t="s">
        <v>830</v>
      </c>
      <c r="D3" s="133" t="s">
        <v>836</v>
      </c>
      <c r="E3" s="180" t="s">
        <v>903</v>
      </c>
      <c r="F3" s="180" t="s">
        <v>904</v>
      </c>
      <c r="G3" s="196" t="s">
        <v>905</v>
      </c>
      <c r="H3" s="8" t="s">
        <v>906</v>
      </c>
      <c r="I3" s="8" t="s">
        <v>907</v>
      </c>
      <c r="J3" s="8" t="s">
        <v>908</v>
      </c>
      <c r="K3" s="8" t="s">
        <v>909</v>
      </c>
      <c r="L3" s="8" t="s">
        <v>230</v>
      </c>
    </row>
    <row r="4" spans="1:12" ht="17.399999999999999" x14ac:dyDescent="0.3">
      <c r="A4" s="192">
        <v>46300</v>
      </c>
      <c r="B4" s="194" t="s">
        <v>832</v>
      </c>
      <c r="C4" s="106" t="s">
        <v>309</v>
      </c>
      <c r="D4" s="182" t="s">
        <v>837</v>
      </c>
      <c r="E4" s="205">
        <v>375270</v>
      </c>
      <c r="F4" s="195">
        <v>10</v>
      </c>
      <c r="G4" s="197">
        <v>46262</v>
      </c>
      <c r="H4" s="8"/>
      <c r="I4" s="198">
        <f>E4-H4</f>
        <v>375270</v>
      </c>
      <c r="J4" s="8">
        <f>G4-A4</f>
        <v>-38</v>
      </c>
      <c r="K4" s="8"/>
      <c r="L4" s="198">
        <f>I4</f>
        <v>375270</v>
      </c>
    </row>
    <row r="5" spans="1:12" ht="15" x14ac:dyDescent="0.25">
      <c r="A5" s="192">
        <v>46300</v>
      </c>
      <c r="B5" s="206" t="s">
        <v>835</v>
      </c>
      <c r="C5" s="185" t="s">
        <v>910</v>
      </c>
      <c r="D5" s="106" t="s">
        <v>837</v>
      </c>
      <c r="E5" s="193">
        <v>34650</v>
      </c>
      <c r="F5" s="195">
        <v>2</v>
      </c>
      <c r="G5" s="197">
        <v>46294</v>
      </c>
      <c r="H5" s="8"/>
      <c r="I5" s="198">
        <f t="shared" ref="I5:I21" si="0">E5-H5</f>
        <v>34650</v>
      </c>
      <c r="J5" s="8">
        <f t="shared" ref="J5:J21" si="1">G5-A5</f>
        <v>-6</v>
      </c>
      <c r="K5" s="8"/>
      <c r="L5" s="198">
        <f t="shared" ref="L5:L21" si="2">I5</f>
        <v>34650</v>
      </c>
    </row>
    <row r="6" spans="1:12" ht="15" x14ac:dyDescent="0.25">
      <c r="A6" s="192">
        <v>46300</v>
      </c>
      <c r="B6" s="206" t="s">
        <v>842</v>
      </c>
      <c r="C6" s="106" t="s">
        <v>722</v>
      </c>
      <c r="D6" s="106" t="s">
        <v>850</v>
      </c>
      <c r="E6" s="193">
        <v>16000</v>
      </c>
      <c r="F6" s="195">
        <v>1</v>
      </c>
      <c r="G6" s="197">
        <v>46294</v>
      </c>
      <c r="H6" s="8"/>
      <c r="I6" s="198">
        <f t="shared" si="0"/>
        <v>16000</v>
      </c>
      <c r="J6" s="8">
        <f t="shared" si="1"/>
        <v>-6</v>
      </c>
      <c r="K6" s="8"/>
      <c r="L6" s="198">
        <f t="shared" si="2"/>
        <v>16000</v>
      </c>
    </row>
    <row r="7" spans="1:12" ht="15" x14ac:dyDescent="0.25">
      <c r="A7" s="192">
        <v>46300</v>
      </c>
      <c r="B7" s="206" t="s">
        <v>851</v>
      </c>
      <c r="C7" s="106" t="s">
        <v>723</v>
      </c>
      <c r="D7" s="106" t="s">
        <v>850</v>
      </c>
      <c r="E7" s="193">
        <v>50000</v>
      </c>
      <c r="F7" s="195">
        <v>10</v>
      </c>
      <c r="G7" s="197">
        <v>46297</v>
      </c>
      <c r="H7" s="8"/>
      <c r="I7" s="198">
        <f t="shared" si="0"/>
        <v>50000</v>
      </c>
      <c r="J7" s="8">
        <f t="shared" si="1"/>
        <v>-3</v>
      </c>
      <c r="K7" s="8"/>
      <c r="L7" s="198">
        <f t="shared" si="2"/>
        <v>50000</v>
      </c>
    </row>
    <row r="8" spans="1:12" ht="15" x14ac:dyDescent="0.25">
      <c r="A8" s="192">
        <v>46300</v>
      </c>
      <c r="B8" s="206" t="s">
        <v>847</v>
      </c>
      <c r="C8" s="106" t="s">
        <v>724</v>
      </c>
      <c r="D8" s="106" t="s">
        <v>850</v>
      </c>
      <c r="E8" s="193">
        <v>75145</v>
      </c>
      <c r="F8" s="195">
        <v>2</v>
      </c>
      <c r="G8" s="197">
        <v>46283</v>
      </c>
      <c r="H8" s="8"/>
      <c r="I8" s="198">
        <f t="shared" si="0"/>
        <v>75145</v>
      </c>
      <c r="J8" s="8">
        <f t="shared" si="1"/>
        <v>-17</v>
      </c>
      <c r="K8" s="8"/>
      <c r="L8" s="198">
        <f t="shared" si="2"/>
        <v>75145</v>
      </c>
    </row>
    <row r="9" spans="1:12" ht="15" x14ac:dyDescent="0.25">
      <c r="A9" s="192">
        <v>46300</v>
      </c>
      <c r="B9" s="206" t="s">
        <v>843</v>
      </c>
      <c r="C9" s="106" t="s">
        <v>725</v>
      </c>
      <c r="D9" s="106" t="s">
        <v>850</v>
      </c>
      <c r="E9" s="193">
        <v>44342</v>
      </c>
      <c r="F9" s="195">
        <v>2</v>
      </c>
      <c r="G9" s="197">
        <v>46281</v>
      </c>
      <c r="H9" s="8"/>
      <c r="I9" s="198">
        <f t="shared" si="0"/>
        <v>44342</v>
      </c>
      <c r="J9" s="8">
        <f t="shared" si="1"/>
        <v>-19</v>
      </c>
      <c r="K9" s="8"/>
      <c r="L9" s="198">
        <f t="shared" si="2"/>
        <v>44342</v>
      </c>
    </row>
    <row r="10" spans="1:12" ht="15" x14ac:dyDescent="0.25">
      <c r="A10" s="192">
        <v>46300</v>
      </c>
      <c r="B10" s="206" t="s">
        <v>852</v>
      </c>
      <c r="C10" s="106" t="s">
        <v>726</v>
      </c>
      <c r="D10" s="106" t="s">
        <v>850</v>
      </c>
      <c r="E10" s="193">
        <v>90000</v>
      </c>
      <c r="F10" s="195">
        <v>5</v>
      </c>
      <c r="G10" s="197">
        <v>46283</v>
      </c>
      <c r="H10" s="8"/>
      <c r="I10" s="198">
        <f t="shared" si="0"/>
        <v>90000</v>
      </c>
      <c r="J10" s="8">
        <f t="shared" si="1"/>
        <v>-17</v>
      </c>
      <c r="K10" s="8"/>
      <c r="L10" s="198">
        <f t="shared" si="2"/>
        <v>90000</v>
      </c>
    </row>
    <row r="11" spans="1:12" ht="15" x14ac:dyDescent="0.25">
      <c r="A11" s="192">
        <v>46300</v>
      </c>
      <c r="B11" s="206" t="s">
        <v>845</v>
      </c>
      <c r="C11" s="106" t="s">
        <v>727</v>
      </c>
      <c r="D11" s="106" t="s">
        <v>911</v>
      </c>
      <c r="E11" s="193">
        <v>186910</v>
      </c>
      <c r="F11" s="195">
        <v>2</v>
      </c>
      <c r="G11" s="197">
        <v>46288</v>
      </c>
      <c r="H11" s="8"/>
      <c r="I11" s="198">
        <f t="shared" si="0"/>
        <v>186910</v>
      </c>
      <c r="J11" s="8">
        <f t="shared" si="1"/>
        <v>-12</v>
      </c>
      <c r="K11" s="8"/>
      <c r="L11" s="198">
        <f t="shared" si="2"/>
        <v>186910</v>
      </c>
    </row>
    <row r="12" spans="1:12" ht="15" x14ac:dyDescent="0.25">
      <c r="A12" s="192">
        <v>46300</v>
      </c>
      <c r="B12" s="206" t="s">
        <v>869</v>
      </c>
      <c r="C12" s="106" t="s">
        <v>312</v>
      </c>
      <c r="D12" s="106" t="s">
        <v>866</v>
      </c>
      <c r="E12" s="193">
        <v>53530</v>
      </c>
      <c r="F12" s="195">
        <v>3</v>
      </c>
      <c r="G12" s="197">
        <v>46288</v>
      </c>
      <c r="H12" s="8"/>
      <c r="I12" s="198">
        <f t="shared" si="0"/>
        <v>53530</v>
      </c>
      <c r="J12" s="8">
        <f t="shared" si="1"/>
        <v>-12</v>
      </c>
      <c r="K12" s="8"/>
      <c r="L12" s="198">
        <f t="shared" si="2"/>
        <v>53530</v>
      </c>
    </row>
    <row r="13" spans="1:12" ht="15" x14ac:dyDescent="0.25">
      <c r="A13" s="192">
        <v>46300</v>
      </c>
      <c r="B13" s="206" t="s">
        <v>853</v>
      </c>
      <c r="C13" s="106" t="s">
        <v>314</v>
      </c>
      <c r="D13" s="106" t="s">
        <v>866</v>
      </c>
      <c r="E13" s="193">
        <v>135410</v>
      </c>
      <c r="F13" s="195">
        <v>1</v>
      </c>
      <c r="G13" s="197">
        <v>46296</v>
      </c>
      <c r="H13" s="8"/>
      <c r="I13" s="198">
        <f t="shared" si="0"/>
        <v>135410</v>
      </c>
      <c r="J13" s="8">
        <f t="shared" si="1"/>
        <v>-4</v>
      </c>
      <c r="K13" s="8"/>
      <c r="L13" s="198">
        <f t="shared" si="2"/>
        <v>135410</v>
      </c>
    </row>
    <row r="14" spans="1:12" ht="15" x14ac:dyDescent="0.25">
      <c r="A14" s="192">
        <v>46300</v>
      </c>
      <c r="B14" s="206" t="s">
        <v>871</v>
      </c>
      <c r="C14" s="106" t="s">
        <v>733</v>
      </c>
      <c r="D14" s="106" t="s">
        <v>866</v>
      </c>
      <c r="E14" s="193">
        <v>43490</v>
      </c>
      <c r="F14" s="195">
        <v>3</v>
      </c>
      <c r="G14" s="197">
        <v>46296</v>
      </c>
      <c r="H14" s="8"/>
      <c r="I14" s="198">
        <f t="shared" si="0"/>
        <v>43490</v>
      </c>
      <c r="J14" s="8">
        <f t="shared" si="1"/>
        <v>-4</v>
      </c>
      <c r="K14" s="8"/>
      <c r="L14" s="198">
        <f t="shared" si="2"/>
        <v>43490</v>
      </c>
    </row>
    <row r="15" spans="1:12" ht="15" x14ac:dyDescent="0.25">
      <c r="A15" s="192">
        <v>46300</v>
      </c>
      <c r="B15" s="206" t="s">
        <v>878</v>
      </c>
      <c r="C15" s="106" t="s">
        <v>738</v>
      </c>
      <c r="D15" s="106" t="s">
        <v>838</v>
      </c>
      <c r="E15" s="193">
        <v>501630</v>
      </c>
      <c r="F15" s="195">
        <v>1</v>
      </c>
      <c r="G15" s="197">
        <v>46255</v>
      </c>
      <c r="H15" s="1"/>
      <c r="I15" s="198">
        <f t="shared" si="0"/>
        <v>501630</v>
      </c>
      <c r="J15" s="8">
        <f t="shared" si="1"/>
        <v>-45</v>
      </c>
      <c r="K15" s="8"/>
      <c r="L15" s="198">
        <f t="shared" si="2"/>
        <v>501630</v>
      </c>
    </row>
    <row r="16" spans="1:12" ht="15" x14ac:dyDescent="0.25">
      <c r="A16" s="192">
        <v>46300</v>
      </c>
      <c r="B16" s="206" t="s">
        <v>879</v>
      </c>
      <c r="C16" s="106" t="s">
        <v>893</v>
      </c>
      <c r="D16" s="106" t="s">
        <v>866</v>
      </c>
      <c r="E16" s="193">
        <v>50300</v>
      </c>
      <c r="F16" s="195">
        <v>1</v>
      </c>
      <c r="G16" s="197">
        <v>46296</v>
      </c>
      <c r="H16" s="8"/>
      <c r="I16" s="198">
        <f t="shared" si="0"/>
        <v>50300</v>
      </c>
      <c r="J16" s="8">
        <f t="shared" si="1"/>
        <v>-4</v>
      </c>
      <c r="K16" s="8"/>
      <c r="L16" s="198">
        <f t="shared" si="2"/>
        <v>50300</v>
      </c>
    </row>
    <row r="17" spans="1:12" ht="15" x14ac:dyDescent="0.25">
      <c r="A17" s="192">
        <v>46300</v>
      </c>
      <c r="B17" s="206" t="s">
        <v>880</v>
      </c>
      <c r="C17" s="106" t="s">
        <v>317</v>
      </c>
      <c r="D17" s="106" t="s">
        <v>866</v>
      </c>
      <c r="E17" s="193">
        <v>551705</v>
      </c>
      <c r="F17" s="195">
        <v>1</v>
      </c>
      <c r="G17" s="197">
        <v>46275</v>
      </c>
      <c r="H17" s="8"/>
      <c r="I17" s="198">
        <f t="shared" si="0"/>
        <v>551705</v>
      </c>
      <c r="J17" s="8">
        <f t="shared" si="1"/>
        <v>-25</v>
      </c>
      <c r="K17" s="8"/>
      <c r="L17" s="198">
        <f t="shared" si="2"/>
        <v>551705</v>
      </c>
    </row>
    <row r="18" spans="1:12" ht="15" x14ac:dyDescent="0.25">
      <c r="A18" s="192">
        <v>46300</v>
      </c>
      <c r="B18" s="206" t="s">
        <v>886</v>
      </c>
      <c r="C18" s="106" t="s">
        <v>745</v>
      </c>
      <c r="D18" s="106" t="s">
        <v>866</v>
      </c>
      <c r="E18" s="193">
        <v>10000</v>
      </c>
      <c r="F18" s="195">
        <v>1</v>
      </c>
      <c r="G18" s="197">
        <v>46282</v>
      </c>
      <c r="H18" s="8"/>
      <c r="I18" s="198">
        <f t="shared" si="0"/>
        <v>10000</v>
      </c>
      <c r="J18" s="8">
        <f t="shared" si="1"/>
        <v>-18</v>
      </c>
      <c r="K18" s="8"/>
      <c r="L18" s="198">
        <f t="shared" si="2"/>
        <v>10000</v>
      </c>
    </row>
    <row r="19" spans="1:12" ht="15" x14ac:dyDescent="0.25">
      <c r="A19" s="192">
        <v>46300</v>
      </c>
      <c r="B19" s="206" t="s">
        <v>888</v>
      </c>
      <c r="C19" s="106" t="s">
        <v>895</v>
      </c>
      <c r="D19" s="106" t="s">
        <v>866</v>
      </c>
      <c r="E19" s="193">
        <v>53975</v>
      </c>
      <c r="F19" s="195">
        <v>1</v>
      </c>
      <c r="G19" s="197">
        <v>46121</v>
      </c>
      <c r="H19" s="8"/>
      <c r="I19" s="198">
        <f t="shared" si="0"/>
        <v>53975</v>
      </c>
      <c r="J19" s="8">
        <f t="shared" si="1"/>
        <v>-179</v>
      </c>
      <c r="K19" s="8"/>
      <c r="L19" s="198">
        <f t="shared" si="2"/>
        <v>53975</v>
      </c>
    </row>
    <row r="20" spans="1:12" ht="15" x14ac:dyDescent="0.25">
      <c r="A20" s="192">
        <v>46300</v>
      </c>
      <c r="B20" s="206" t="s">
        <v>890</v>
      </c>
      <c r="C20" s="106" t="s">
        <v>912</v>
      </c>
      <c r="D20" s="106" t="s">
        <v>913</v>
      </c>
      <c r="E20" s="193">
        <v>102260</v>
      </c>
      <c r="F20" s="195">
        <v>1</v>
      </c>
      <c r="G20" s="197">
        <v>46218</v>
      </c>
      <c r="H20" s="8"/>
      <c r="I20" s="198">
        <f t="shared" si="0"/>
        <v>102260</v>
      </c>
      <c r="J20" s="8">
        <f t="shared" si="1"/>
        <v>-82</v>
      </c>
      <c r="K20" s="8"/>
      <c r="L20" s="198">
        <f t="shared" si="2"/>
        <v>102260</v>
      </c>
    </row>
    <row r="21" spans="1:12" ht="15" x14ac:dyDescent="0.25">
      <c r="A21" s="192">
        <v>46300</v>
      </c>
      <c r="B21" s="206" t="s">
        <v>915</v>
      </c>
      <c r="C21" s="106" t="s">
        <v>914</v>
      </c>
      <c r="D21" s="106" t="s">
        <v>837</v>
      </c>
      <c r="E21" s="207">
        <v>84200</v>
      </c>
      <c r="F21" s="195">
        <v>1</v>
      </c>
      <c r="G21" s="197">
        <v>46161</v>
      </c>
      <c r="H21" s="8"/>
      <c r="I21" s="198">
        <f t="shared" si="0"/>
        <v>84200</v>
      </c>
      <c r="J21" s="8">
        <f t="shared" si="1"/>
        <v>-139</v>
      </c>
      <c r="K21" s="8"/>
      <c r="L21" s="198">
        <f t="shared" si="2"/>
        <v>84200</v>
      </c>
    </row>
    <row r="22" spans="1:12" ht="15" x14ac:dyDescent="0.25">
      <c r="A22" s="106"/>
      <c r="B22" s="184"/>
      <c r="C22" s="106"/>
      <c r="D22" s="106"/>
      <c r="E22" s="106"/>
      <c r="F22" s="183"/>
      <c r="G22" s="1"/>
      <c r="H22" s="1"/>
      <c r="I22" s="8"/>
      <c r="J22" s="8"/>
      <c r="K22" s="8"/>
      <c r="L22" s="8"/>
    </row>
    <row r="23" spans="1:12" ht="15" x14ac:dyDescent="0.25">
      <c r="A23" s="106"/>
      <c r="B23" s="184"/>
      <c r="C23" s="184"/>
      <c r="D23" s="106"/>
      <c r="E23" s="106"/>
      <c r="F23" s="183"/>
      <c r="G23" s="8"/>
      <c r="H23" s="8"/>
      <c r="I23" s="8"/>
      <c r="J23" s="8"/>
      <c r="K23" s="8"/>
      <c r="L23" s="8"/>
    </row>
    <row r="24" spans="1:12" ht="15" x14ac:dyDescent="0.25">
      <c r="A24" s="106"/>
      <c r="B24" s="184"/>
      <c r="C24" s="106"/>
      <c r="D24" s="106"/>
      <c r="E24" s="185"/>
      <c r="F24" s="183"/>
      <c r="G24" s="8"/>
      <c r="H24" s="8"/>
      <c r="I24" s="8"/>
      <c r="J24" s="8"/>
      <c r="K24" s="8"/>
      <c r="L24" s="8"/>
    </row>
    <row r="25" spans="1:12" ht="15" x14ac:dyDescent="0.25">
      <c r="A25" s="106"/>
      <c r="B25" s="184"/>
      <c r="C25" s="106"/>
      <c r="D25" s="106"/>
      <c r="E25" s="185"/>
      <c r="F25" s="183"/>
      <c r="G25" s="8"/>
      <c r="H25" s="8"/>
      <c r="I25" s="8"/>
      <c r="J25" s="8"/>
      <c r="K25" s="8"/>
      <c r="L25" s="8"/>
    </row>
    <row r="26" spans="1:12" ht="17.399999999999999" x14ac:dyDescent="0.3">
      <c r="A26" s="186"/>
      <c r="B26" s="184"/>
      <c r="C26" s="106"/>
      <c r="D26" s="106"/>
      <c r="E26" s="185"/>
      <c r="F26" s="183"/>
      <c r="G26" s="8"/>
      <c r="H26" s="8"/>
      <c r="I26" s="8"/>
      <c r="J26" s="8"/>
      <c r="K26" s="8"/>
      <c r="L26" s="8"/>
    </row>
    <row r="27" spans="1:12" ht="15" x14ac:dyDescent="0.25">
      <c r="A27" s="106" t="s">
        <v>230</v>
      </c>
      <c r="B27" s="187"/>
      <c r="C27" s="106"/>
      <c r="D27" s="106"/>
      <c r="E27" s="185"/>
      <c r="F27" s="183"/>
      <c r="G27" s="8"/>
      <c r="H27" s="8"/>
      <c r="I27" s="8"/>
      <c r="J27" s="8"/>
      <c r="K27" s="8"/>
      <c r="L27" s="198">
        <v>2395017</v>
      </c>
    </row>
    <row r="28" spans="1:12" ht="15" x14ac:dyDescent="0.25">
      <c r="A28" s="106"/>
      <c r="B28" s="184"/>
      <c r="C28" s="181"/>
      <c r="D28" s="106"/>
      <c r="E28" s="106"/>
      <c r="F28" s="183"/>
    </row>
    <row r="29" spans="1:12" ht="15" x14ac:dyDescent="0.25">
      <c r="A29" s="190"/>
      <c r="B29" s="199"/>
      <c r="C29" s="181"/>
      <c r="D29" s="190"/>
      <c r="E29" s="190"/>
      <c r="F29" s="200"/>
    </row>
    <row r="30" spans="1:12" ht="15" x14ac:dyDescent="0.25">
      <c r="A30" s="106"/>
      <c r="B30" s="184"/>
      <c r="C30" s="106"/>
      <c r="D30" s="106"/>
      <c r="E30" s="106"/>
      <c r="F30" s="183"/>
      <c r="G30" s="8"/>
      <c r="H30" s="8"/>
      <c r="I30" s="8"/>
      <c r="J30" s="8"/>
      <c r="K30" s="8"/>
      <c r="L30" s="8"/>
    </row>
    <row r="31" spans="1:12" ht="15" x14ac:dyDescent="0.25">
      <c r="A31" s="106"/>
      <c r="B31" s="184"/>
      <c r="C31" s="106"/>
      <c r="D31" s="106"/>
      <c r="E31" s="106"/>
      <c r="F31" s="183"/>
      <c r="G31" s="8"/>
      <c r="H31" s="8"/>
      <c r="I31" s="8"/>
      <c r="J31" s="8"/>
      <c r="K31" s="8"/>
      <c r="L31" s="8"/>
    </row>
    <row r="32" spans="1:12" ht="17.399999999999999" x14ac:dyDescent="0.3">
      <c r="A32" s="186"/>
      <c r="B32" s="106"/>
      <c r="C32" s="106"/>
      <c r="D32" s="106"/>
      <c r="E32" s="106"/>
      <c r="F32" s="183"/>
      <c r="G32" s="8"/>
      <c r="H32" s="8"/>
      <c r="I32" s="8"/>
      <c r="J32" s="8"/>
      <c r="K32" s="8"/>
      <c r="L32" s="8"/>
    </row>
    <row r="33" spans="1:12" ht="15" x14ac:dyDescent="0.25">
      <c r="A33" s="106"/>
      <c r="B33" s="106"/>
      <c r="C33" s="106"/>
      <c r="D33" s="106"/>
      <c r="E33" s="106"/>
      <c r="F33" s="183"/>
      <c r="G33" s="8"/>
      <c r="H33" s="8"/>
      <c r="I33" s="8"/>
      <c r="J33" s="8"/>
      <c r="K33" s="8"/>
      <c r="L33" s="8"/>
    </row>
    <row r="34" spans="1:12" ht="15" x14ac:dyDescent="0.25">
      <c r="A34" s="106"/>
      <c r="B34" s="184"/>
      <c r="C34" s="106"/>
      <c r="D34" s="106"/>
      <c r="E34" s="106"/>
      <c r="F34" s="183"/>
      <c r="G34" s="8"/>
      <c r="H34" s="8"/>
      <c r="I34" s="8"/>
      <c r="J34" s="8"/>
      <c r="K34" s="8"/>
      <c r="L34" s="8"/>
    </row>
    <row r="35" spans="1:12" ht="15" x14ac:dyDescent="0.25">
      <c r="A35" s="106"/>
      <c r="B35" s="184"/>
      <c r="C35" s="106"/>
      <c r="D35" s="106"/>
      <c r="E35" s="106"/>
      <c r="F35" s="183"/>
      <c r="G35" s="8"/>
      <c r="H35" s="8"/>
      <c r="I35" s="8"/>
      <c r="J35" s="8"/>
      <c r="K35" s="8"/>
      <c r="L35" s="8"/>
    </row>
    <row r="36" spans="1:12" ht="15" x14ac:dyDescent="0.25">
      <c r="A36" s="106"/>
      <c r="B36" s="184"/>
      <c r="C36" s="106"/>
      <c r="D36" s="106"/>
      <c r="E36" s="106"/>
      <c r="F36" s="183"/>
      <c r="G36" s="8"/>
      <c r="H36" s="8"/>
      <c r="I36" s="8"/>
      <c r="J36" s="8"/>
      <c r="K36" s="8"/>
      <c r="L36" s="8"/>
    </row>
    <row r="37" spans="1:12" ht="15" x14ac:dyDescent="0.25">
      <c r="A37" s="106"/>
      <c r="B37" s="184"/>
      <c r="C37" s="106"/>
      <c r="D37" s="106"/>
      <c r="E37" s="106"/>
      <c r="F37" s="183"/>
      <c r="G37" s="8"/>
      <c r="H37" s="8"/>
      <c r="I37" s="8"/>
      <c r="J37" s="8"/>
      <c r="K37" s="8"/>
      <c r="L37" s="8"/>
    </row>
    <row r="38" spans="1:12" ht="15" x14ac:dyDescent="0.25">
      <c r="A38" s="106"/>
      <c r="B38" s="184"/>
      <c r="C38" s="106"/>
      <c r="D38" s="106"/>
      <c r="E38" s="106"/>
      <c r="F38" s="183"/>
      <c r="G38" s="8"/>
      <c r="H38" s="8"/>
      <c r="I38" s="8"/>
      <c r="J38" s="8"/>
      <c r="K38" s="8"/>
      <c r="L38" s="8"/>
    </row>
    <row r="39" spans="1:12" ht="15" x14ac:dyDescent="0.25">
      <c r="A39" s="106"/>
      <c r="B39" s="184"/>
      <c r="C39" s="106"/>
      <c r="D39" s="106"/>
      <c r="E39" s="188"/>
      <c r="F39" s="183"/>
      <c r="G39" s="8"/>
      <c r="H39" s="8"/>
      <c r="I39" s="8"/>
      <c r="J39" s="8"/>
      <c r="K39" s="8"/>
      <c r="L39" s="8"/>
    </row>
    <row r="40" spans="1:12" ht="15" x14ac:dyDescent="0.25">
      <c r="A40" s="106"/>
      <c r="B40" s="184"/>
      <c r="C40" s="106"/>
      <c r="D40" s="106"/>
      <c r="E40" s="106"/>
      <c r="F40" s="183"/>
      <c r="G40" s="8"/>
      <c r="H40" s="8"/>
      <c r="I40" s="8"/>
      <c r="J40" s="8"/>
      <c r="K40" s="8"/>
      <c r="L40" s="8"/>
    </row>
    <row r="41" spans="1:12" ht="15" x14ac:dyDescent="0.25">
      <c r="A41" s="106"/>
      <c r="B41" s="184"/>
      <c r="C41" s="106"/>
      <c r="D41" s="106"/>
      <c r="E41" s="106"/>
      <c r="F41" s="183"/>
      <c r="G41" s="8"/>
      <c r="H41" s="8"/>
      <c r="I41" s="8"/>
      <c r="J41" s="8"/>
      <c r="K41" s="8"/>
      <c r="L41" s="8"/>
    </row>
    <row r="42" spans="1:12" ht="15" x14ac:dyDescent="0.25">
      <c r="A42" s="106"/>
      <c r="B42" s="184"/>
      <c r="C42" s="106"/>
      <c r="D42" s="106"/>
      <c r="E42" s="106"/>
      <c r="F42" s="183"/>
      <c r="G42" s="8"/>
      <c r="H42" s="8"/>
      <c r="I42" s="8"/>
      <c r="J42" s="8"/>
      <c r="K42" s="8"/>
      <c r="L42" s="8"/>
    </row>
    <row r="43" spans="1:12" ht="15" x14ac:dyDescent="0.25">
      <c r="A43" s="106"/>
      <c r="B43" s="184"/>
      <c r="C43" s="106"/>
      <c r="D43" s="106"/>
      <c r="E43" s="106"/>
      <c r="F43" s="183"/>
      <c r="G43" s="8"/>
      <c r="H43" s="8"/>
      <c r="I43" s="8"/>
      <c r="J43" s="8"/>
      <c r="K43" s="8"/>
      <c r="L43" s="8"/>
    </row>
    <row r="44" spans="1:12" ht="15" x14ac:dyDescent="0.25">
      <c r="A44" s="106"/>
      <c r="B44" s="184"/>
      <c r="C44" s="106"/>
      <c r="D44" s="106"/>
      <c r="E44" s="106"/>
      <c r="F44" s="183"/>
      <c r="G44" s="8"/>
      <c r="H44" s="8"/>
      <c r="I44" s="8"/>
      <c r="J44" s="8"/>
      <c r="K44" s="8"/>
      <c r="L44" s="8"/>
    </row>
    <row r="45" spans="1:12" ht="15" x14ac:dyDescent="0.25">
      <c r="A45" s="106"/>
      <c r="B45" s="184"/>
      <c r="C45" s="106"/>
      <c r="D45" s="106"/>
      <c r="E45" s="106"/>
      <c r="F45" s="183"/>
      <c r="G45" s="8"/>
      <c r="H45" s="8"/>
      <c r="I45" s="8"/>
      <c r="J45" s="8"/>
      <c r="K45" s="8"/>
      <c r="L45" s="8"/>
    </row>
    <row r="46" spans="1:12" ht="15" x14ac:dyDescent="0.25">
      <c r="A46" s="106"/>
      <c r="B46" s="184"/>
      <c r="C46" s="106"/>
      <c r="D46" s="106"/>
      <c r="E46" s="106"/>
      <c r="F46" s="183"/>
      <c r="G46" s="8"/>
      <c r="H46" s="8"/>
      <c r="I46" s="8"/>
      <c r="J46" s="8"/>
      <c r="K46" s="8"/>
      <c r="L46" s="8"/>
    </row>
    <row r="47" spans="1:12" ht="15" x14ac:dyDescent="0.25">
      <c r="A47" s="106"/>
      <c r="B47" s="184"/>
      <c r="C47" s="106"/>
      <c r="D47" s="106"/>
      <c r="E47" s="106"/>
      <c r="F47" s="183"/>
      <c r="G47" s="8"/>
      <c r="H47" s="8"/>
      <c r="I47" s="8"/>
      <c r="J47" s="8"/>
      <c r="K47" s="8"/>
      <c r="L47" s="8"/>
    </row>
    <row r="48" spans="1:12" ht="17.399999999999999" x14ac:dyDescent="0.3">
      <c r="A48" s="186"/>
      <c r="B48" s="184"/>
      <c r="C48" s="106"/>
      <c r="D48" s="106"/>
      <c r="E48" s="106"/>
      <c r="F48" s="183"/>
      <c r="G48" s="8"/>
      <c r="H48" s="8"/>
      <c r="I48" s="8"/>
      <c r="J48" s="8"/>
      <c r="K48" s="8"/>
      <c r="L48" s="8"/>
    </row>
    <row r="49" spans="1:12" ht="15" x14ac:dyDescent="0.25">
      <c r="A49" s="106"/>
      <c r="B49" s="184"/>
      <c r="C49" s="106"/>
      <c r="D49" s="106"/>
      <c r="E49" s="106"/>
      <c r="F49" s="183"/>
      <c r="G49" s="8"/>
      <c r="H49" s="8"/>
      <c r="I49" s="8"/>
      <c r="J49" s="8"/>
      <c r="K49" s="8"/>
      <c r="L49" s="8"/>
    </row>
    <row r="50" spans="1:12" ht="15" x14ac:dyDescent="0.25">
      <c r="A50" s="106"/>
      <c r="B50" s="184"/>
      <c r="C50" s="106"/>
      <c r="D50" s="106"/>
      <c r="E50" s="106"/>
      <c r="F50" s="183"/>
      <c r="G50" s="8"/>
      <c r="H50" s="8"/>
      <c r="I50" s="8"/>
      <c r="J50" s="8"/>
      <c r="K50" s="8"/>
      <c r="L50" s="8"/>
    </row>
    <row r="51" spans="1:12" ht="15" x14ac:dyDescent="0.25">
      <c r="A51" s="106"/>
      <c r="B51" s="184"/>
      <c r="C51" s="106"/>
      <c r="D51" s="106"/>
      <c r="E51" s="106"/>
      <c r="F51" s="183"/>
      <c r="G51" s="8"/>
      <c r="H51" s="8"/>
      <c r="I51" s="8"/>
      <c r="J51" s="8"/>
      <c r="K51" s="8"/>
      <c r="L51" s="8"/>
    </row>
    <row r="52" spans="1:12" ht="17.399999999999999" x14ac:dyDescent="0.3">
      <c r="A52" s="186"/>
      <c r="B52" s="184"/>
      <c r="C52" s="106"/>
      <c r="D52" s="106"/>
      <c r="E52" s="106"/>
      <c r="F52" s="183"/>
      <c r="G52" s="8"/>
      <c r="H52" s="8"/>
      <c r="I52" s="8"/>
      <c r="J52" s="8"/>
      <c r="K52" s="8"/>
      <c r="L52" s="8"/>
    </row>
    <row r="53" spans="1:12" ht="15" x14ac:dyDescent="0.25">
      <c r="A53" s="106"/>
      <c r="B53" s="184"/>
      <c r="C53" s="106"/>
      <c r="D53" s="106"/>
      <c r="E53" s="106"/>
      <c r="F53" s="183"/>
      <c r="G53" s="8"/>
      <c r="H53" s="8"/>
      <c r="I53" s="8"/>
      <c r="J53" s="8"/>
      <c r="K53" s="8"/>
      <c r="L53" s="8"/>
    </row>
    <row r="54" spans="1:12" ht="15" x14ac:dyDescent="0.25">
      <c r="A54" s="106"/>
      <c r="B54" s="184"/>
      <c r="C54" s="106"/>
      <c r="D54" s="106"/>
      <c r="E54" s="106"/>
      <c r="F54" s="183"/>
      <c r="G54" s="8"/>
      <c r="H54" s="8"/>
      <c r="I54" s="8"/>
      <c r="J54" s="8"/>
      <c r="K54" s="8"/>
      <c r="L54" s="8"/>
    </row>
    <row r="55" spans="1:12" ht="15" x14ac:dyDescent="0.25">
      <c r="A55" s="106"/>
      <c r="B55" s="184"/>
      <c r="C55" s="106"/>
      <c r="D55" s="106"/>
      <c r="E55" s="106"/>
      <c r="F55" s="183"/>
      <c r="G55" s="8"/>
      <c r="H55" s="8"/>
      <c r="I55" s="8"/>
      <c r="J55" s="8"/>
      <c r="K55" s="8"/>
      <c r="L55" s="8"/>
    </row>
    <row r="56" spans="1:12" ht="15" x14ac:dyDescent="0.25">
      <c r="A56" s="106"/>
      <c r="B56" s="184"/>
      <c r="C56" s="106"/>
      <c r="D56" s="106"/>
      <c r="E56" s="106"/>
      <c r="F56" s="183"/>
      <c r="G56" s="8"/>
      <c r="H56" s="8"/>
      <c r="I56" s="8"/>
      <c r="J56" s="8"/>
      <c r="K56" s="8"/>
      <c r="L56" s="8"/>
    </row>
    <row r="57" spans="1:12" ht="15" x14ac:dyDescent="0.25">
      <c r="A57" s="106"/>
      <c r="B57" s="184"/>
      <c r="C57" s="106"/>
      <c r="D57" s="106"/>
      <c r="E57" s="106"/>
      <c r="F57" s="183"/>
      <c r="G57" s="8"/>
      <c r="H57" s="8"/>
      <c r="I57" s="8"/>
      <c r="J57" s="8"/>
      <c r="K57" s="8"/>
      <c r="L57" s="8"/>
    </row>
    <row r="58" spans="1:12" ht="15" x14ac:dyDescent="0.25">
      <c r="A58" s="106"/>
      <c r="B58" s="184"/>
      <c r="C58" s="106"/>
      <c r="D58" s="106"/>
      <c r="E58" s="106"/>
      <c r="F58" s="183"/>
      <c r="G58" s="8"/>
      <c r="H58" s="8"/>
      <c r="I58" s="8"/>
      <c r="J58" s="8"/>
      <c r="K58" s="8"/>
      <c r="L58" s="8"/>
    </row>
    <row r="59" spans="1:12" ht="15" x14ac:dyDescent="0.25">
      <c r="A59" s="106"/>
      <c r="B59" s="184"/>
      <c r="C59" s="106"/>
      <c r="D59" s="106"/>
      <c r="E59" s="106"/>
      <c r="F59" s="183"/>
      <c r="G59" s="8"/>
      <c r="H59" s="8"/>
      <c r="I59" s="8"/>
      <c r="J59" s="8"/>
      <c r="K59" s="8"/>
      <c r="L59" s="8"/>
    </row>
    <row r="60" spans="1:12" ht="15" x14ac:dyDescent="0.25">
      <c r="A60" s="106"/>
      <c r="B60" s="184"/>
      <c r="C60" s="106"/>
      <c r="D60" s="106"/>
      <c r="E60" s="106"/>
      <c r="F60" s="183"/>
      <c r="G60" s="8"/>
      <c r="H60" s="8"/>
      <c r="I60" s="8"/>
      <c r="J60" s="8"/>
      <c r="K60" s="8"/>
      <c r="L60" s="8"/>
    </row>
    <row r="61" spans="1:12" ht="17.399999999999999" x14ac:dyDescent="0.3">
      <c r="A61" s="186"/>
      <c r="B61" s="184"/>
      <c r="C61" s="106"/>
      <c r="D61" s="106"/>
      <c r="E61" s="106"/>
      <c r="F61" s="183"/>
      <c r="G61" s="8"/>
      <c r="H61" s="8"/>
      <c r="I61" s="8"/>
      <c r="J61" s="8"/>
      <c r="K61" s="8"/>
      <c r="L61" s="8"/>
    </row>
    <row r="62" spans="1:12" ht="15.6" x14ac:dyDescent="0.3">
      <c r="A62" s="106"/>
      <c r="B62" s="184"/>
      <c r="C62" s="106"/>
      <c r="D62" s="106"/>
      <c r="E62" s="189"/>
      <c r="F62" s="183"/>
      <c r="G62" s="8"/>
      <c r="H62" s="8"/>
      <c r="I62" s="8"/>
      <c r="J62" s="8"/>
      <c r="K62" s="8"/>
      <c r="L62" s="8"/>
    </row>
    <row r="63" spans="1:12" ht="15.6" x14ac:dyDescent="0.3">
      <c r="A63" s="106"/>
      <c r="B63" s="184"/>
      <c r="C63" s="106"/>
      <c r="D63" s="106"/>
      <c r="E63" s="189"/>
      <c r="F63" s="183"/>
      <c r="G63" s="8"/>
      <c r="H63" s="8"/>
      <c r="I63" s="8"/>
      <c r="J63" s="8"/>
      <c r="K63" s="8"/>
      <c r="L63" s="8"/>
    </row>
    <row r="64" spans="1:12" ht="15" x14ac:dyDescent="0.25">
      <c r="A64" s="106"/>
      <c r="B64" s="184"/>
      <c r="C64" s="106"/>
      <c r="D64" s="106"/>
      <c r="E64" s="106"/>
      <c r="F64" s="183"/>
      <c r="G64" s="8"/>
      <c r="H64" s="8"/>
      <c r="I64" s="8"/>
      <c r="J64" s="8"/>
      <c r="K64" s="8"/>
      <c r="L64" s="8"/>
    </row>
    <row r="65" spans="1:12" ht="15" x14ac:dyDescent="0.25">
      <c r="A65" s="106"/>
      <c r="B65" s="184"/>
      <c r="C65" s="106"/>
      <c r="D65" s="106"/>
      <c r="E65" s="106"/>
      <c r="F65" s="183"/>
      <c r="G65" s="8"/>
      <c r="H65" s="8"/>
      <c r="I65" s="8"/>
      <c r="J65" s="8"/>
      <c r="K65" s="8"/>
      <c r="L65" s="8"/>
    </row>
    <row r="66" spans="1:12" ht="15" x14ac:dyDescent="0.25">
      <c r="A66" s="106"/>
      <c r="B66" s="184"/>
      <c r="C66" s="106"/>
      <c r="D66" s="106"/>
      <c r="E66" s="106"/>
      <c r="F66" s="183"/>
      <c r="G66" s="8"/>
      <c r="H66" s="8"/>
      <c r="I66" s="8"/>
      <c r="J66" s="8"/>
      <c r="K66" s="8"/>
      <c r="L66" s="8"/>
    </row>
    <row r="67" spans="1:12" ht="15" x14ac:dyDescent="0.25">
      <c r="A67" s="106"/>
      <c r="B67" s="184"/>
      <c r="C67" s="106"/>
      <c r="D67" s="106"/>
      <c r="E67" s="106"/>
      <c r="F67" s="183"/>
      <c r="G67" s="8"/>
      <c r="H67" s="8"/>
      <c r="I67" s="8"/>
      <c r="J67" s="8"/>
      <c r="K67" s="8"/>
      <c r="L67" s="8"/>
    </row>
    <row r="68" spans="1:12" ht="17.399999999999999" x14ac:dyDescent="0.3">
      <c r="A68" s="186"/>
      <c r="B68" s="184"/>
      <c r="C68" s="106"/>
      <c r="D68" s="106"/>
      <c r="E68" s="106"/>
      <c r="F68" s="183"/>
      <c r="G68" s="8"/>
      <c r="H68" s="8"/>
      <c r="I68" s="8"/>
      <c r="J68" s="8"/>
      <c r="K68" s="8"/>
      <c r="L68" s="8"/>
    </row>
    <row r="69" spans="1:12" ht="15" x14ac:dyDescent="0.25">
      <c r="A69" s="106"/>
      <c r="B69" s="184"/>
      <c r="C69" s="106"/>
      <c r="D69" s="106"/>
      <c r="E69" s="106"/>
      <c r="F69" s="183"/>
      <c r="G69" s="8"/>
      <c r="H69" s="8"/>
      <c r="I69" s="8"/>
      <c r="J69" s="8"/>
      <c r="K69" s="8"/>
      <c r="L69" s="8"/>
    </row>
    <row r="70" spans="1:12" ht="15" x14ac:dyDescent="0.25">
      <c r="A70" s="106"/>
      <c r="B70" s="184"/>
      <c r="C70" s="106"/>
      <c r="D70" s="106"/>
      <c r="E70" s="106"/>
      <c r="F70" s="183"/>
      <c r="G70" s="8"/>
      <c r="H70" s="8"/>
      <c r="I70" s="8"/>
      <c r="J70" s="8"/>
      <c r="K70" s="8"/>
      <c r="L70" s="8"/>
    </row>
    <row r="71" spans="1:12" ht="15" x14ac:dyDescent="0.25">
      <c r="A71" s="106"/>
      <c r="B71" s="184"/>
      <c r="C71" s="106"/>
      <c r="D71" s="106"/>
      <c r="E71" s="106"/>
      <c r="F71" s="183"/>
      <c r="G71" s="8"/>
      <c r="H71" s="8"/>
      <c r="I71" s="8"/>
      <c r="J71" s="8"/>
      <c r="K71" s="8"/>
      <c r="L71" s="8"/>
    </row>
    <row r="72" spans="1:12" ht="15" x14ac:dyDescent="0.25">
      <c r="A72" s="106"/>
      <c r="B72" s="184"/>
      <c r="C72" s="106"/>
      <c r="D72" s="106"/>
      <c r="E72" s="106"/>
      <c r="F72" s="183"/>
      <c r="G72" s="8"/>
      <c r="H72" s="8"/>
      <c r="I72" s="8"/>
      <c r="J72" s="8"/>
      <c r="K72" s="8"/>
      <c r="L72" s="8"/>
    </row>
    <row r="73" spans="1:12" ht="15" x14ac:dyDescent="0.25">
      <c r="A73" s="106"/>
      <c r="B73" s="184"/>
      <c r="C73" s="106"/>
      <c r="D73" s="106"/>
      <c r="E73" s="106"/>
      <c r="F73" s="183"/>
      <c r="G73" s="8"/>
      <c r="H73" s="8"/>
      <c r="I73" s="8"/>
      <c r="J73" s="8"/>
      <c r="K73" s="8"/>
      <c r="L73" s="8"/>
    </row>
    <row r="74" spans="1:12" ht="15" x14ac:dyDescent="0.25">
      <c r="A74" s="106"/>
      <c r="B74" s="184"/>
      <c r="C74" s="106"/>
      <c r="D74" s="106"/>
      <c r="E74" s="106"/>
      <c r="F74" s="183"/>
      <c r="G74" s="8"/>
      <c r="H74" s="8"/>
      <c r="I74" s="8"/>
      <c r="J74" s="8"/>
      <c r="K74" s="8"/>
      <c r="L74" s="8"/>
    </row>
    <row r="75" spans="1:12" ht="15" x14ac:dyDescent="0.25">
      <c r="A75" s="106"/>
      <c r="B75" s="184"/>
      <c r="C75" s="106"/>
      <c r="D75" s="106"/>
      <c r="E75" s="106"/>
      <c r="F75" s="183"/>
      <c r="G75" s="8"/>
      <c r="H75" s="8"/>
      <c r="I75" s="8"/>
      <c r="J75" s="8"/>
      <c r="K75" s="8"/>
      <c r="L75" s="8"/>
    </row>
    <row r="76" spans="1:12" ht="15" x14ac:dyDescent="0.25">
      <c r="A76" s="106"/>
      <c r="B76" s="184"/>
      <c r="C76" s="106"/>
      <c r="D76" s="106"/>
      <c r="E76" s="106"/>
      <c r="F76" s="183"/>
      <c r="G76" s="8"/>
      <c r="H76" s="8"/>
      <c r="I76" s="8"/>
      <c r="J76" s="8"/>
      <c r="K76" s="8"/>
      <c r="L76" s="8"/>
    </row>
    <row r="77" spans="1:12" ht="15" x14ac:dyDescent="0.25">
      <c r="A77" s="106"/>
      <c r="B77" s="184"/>
      <c r="C77" s="185"/>
      <c r="D77" s="106"/>
      <c r="E77" s="106"/>
      <c r="F77" s="183"/>
      <c r="G77" s="8"/>
      <c r="H77" s="8"/>
      <c r="I77" s="8"/>
      <c r="J77" s="8"/>
      <c r="K77" s="8"/>
      <c r="L77" s="8"/>
    </row>
    <row r="78" spans="1:12" ht="15" x14ac:dyDescent="0.25">
      <c r="A78" s="106"/>
      <c r="B78" s="184"/>
      <c r="C78" s="106"/>
      <c r="D78" s="106"/>
      <c r="E78" s="106"/>
      <c r="F78" s="183"/>
      <c r="G78" s="8"/>
      <c r="H78" s="8"/>
      <c r="I78" s="8"/>
      <c r="J78" s="8"/>
      <c r="K78" s="8"/>
      <c r="L78" s="8"/>
    </row>
    <row r="79" spans="1:12" ht="15" x14ac:dyDescent="0.25">
      <c r="A79" s="106"/>
      <c r="B79" s="184"/>
      <c r="C79" s="106"/>
      <c r="D79" s="106"/>
      <c r="E79" s="106"/>
      <c r="F79" s="183"/>
      <c r="G79" s="8"/>
      <c r="H79" s="8"/>
      <c r="I79" s="8"/>
      <c r="J79" s="8"/>
      <c r="K79" s="8"/>
      <c r="L79" s="8"/>
    </row>
    <row r="80" spans="1:12" ht="15" x14ac:dyDescent="0.25">
      <c r="A80" s="106"/>
      <c r="B80" s="184"/>
      <c r="C80" s="106"/>
      <c r="D80" s="106"/>
      <c r="E80" s="106"/>
      <c r="F80" s="183"/>
      <c r="G80" s="8"/>
      <c r="H80" s="8"/>
      <c r="I80" s="8"/>
      <c r="J80" s="8"/>
      <c r="K80" s="8"/>
      <c r="L80" s="8"/>
    </row>
    <row r="81" spans="1:12" ht="15" x14ac:dyDescent="0.25">
      <c r="A81" s="106"/>
      <c r="B81" s="184"/>
      <c r="C81" s="106"/>
      <c r="D81" s="106"/>
      <c r="E81" s="106"/>
      <c r="F81" s="183"/>
      <c r="G81" s="8"/>
      <c r="H81" s="8"/>
      <c r="I81" s="8"/>
      <c r="J81" s="8"/>
      <c r="K81" s="8"/>
      <c r="L81" s="8"/>
    </row>
    <row r="82" spans="1:12" ht="15" x14ac:dyDescent="0.25">
      <c r="A82" s="106"/>
      <c r="B82" s="184"/>
      <c r="C82" s="106"/>
      <c r="D82" s="106"/>
      <c r="E82" s="106"/>
      <c r="F82" s="183"/>
      <c r="G82" s="8"/>
      <c r="H82" s="8"/>
      <c r="I82" s="8"/>
      <c r="J82" s="8"/>
      <c r="K82" s="8"/>
      <c r="L82" s="8"/>
    </row>
    <row r="83" spans="1:12" ht="17.399999999999999" x14ac:dyDescent="0.3">
      <c r="A83" s="186"/>
      <c r="B83" s="184"/>
      <c r="C83" s="106"/>
      <c r="D83" s="106"/>
      <c r="E83" s="106"/>
      <c r="F83" s="183"/>
      <c r="G83" s="8"/>
      <c r="H83" s="8"/>
      <c r="I83" s="8"/>
      <c r="J83" s="8"/>
      <c r="K83" s="8"/>
      <c r="L83" s="8"/>
    </row>
    <row r="84" spans="1:12" ht="15" x14ac:dyDescent="0.25">
      <c r="A84" s="106"/>
      <c r="B84" s="184"/>
      <c r="C84" s="106"/>
      <c r="D84" s="106"/>
      <c r="E84" s="106"/>
      <c r="F84" s="183"/>
      <c r="G84" s="8"/>
      <c r="H84" s="8"/>
      <c r="I84" s="8"/>
      <c r="J84" s="8"/>
      <c r="K84" s="8"/>
      <c r="L84" s="8"/>
    </row>
    <row r="85" spans="1:12" ht="15" x14ac:dyDescent="0.25">
      <c r="A85" s="106"/>
      <c r="B85" s="184"/>
      <c r="C85" s="106"/>
      <c r="D85" s="106"/>
      <c r="E85" s="106"/>
      <c r="F85" s="183"/>
      <c r="G85" s="8"/>
      <c r="H85" s="8"/>
      <c r="I85" s="8"/>
      <c r="J85" s="8"/>
      <c r="K85" s="8"/>
      <c r="L85" s="8"/>
    </row>
    <row r="86" spans="1:12" ht="15" x14ac:dyDescent="0.25">
      <c r="A86" s="106"/>
      <c r="B86" s="184"/>
      <c r="C86" s="106"/>
      <c r="D86" s="106"/>
      <c r="E86" s="106"/>
      <c r="F86" s="183"/>
      <c r="G86" s="8"/>
      <c r="H86" s="8"/>
      <c r="I86" s="8"/>
      <c r="J86" s="8"/>
      <c r="K86" s="8"/>
      <c r="L86" s="8"/>
    </row>
    <row r="87" spans="1:12" ht="15" x14ac:dyDescent="0.25">
      <c r="A87" s="106"/>
      <c r="B87" s="184"/>
      <c r="C87" s="106"/>
      <c r="D87" s="106"/>
      <c r="E87" s="106"/>
      <c r="F87" s="183"/>
      <c r="G87" s="8"/>
      <c r="H87" s="8"/>
      <c r="I87" s="8"/>
      <c r="J87" s="8"/>
      <c r="K87" s="8"/>
      <c r="L87" s="8"/>
    </row>
    <row r="88" spans="1:12" ht="15" x14ac:dyDescent="0.25">
      <c r="A88" s="106"/>
      <c r="B88" s="184"/>
      <c r="C88" s="106"/>
      <c r="D88" s="106"/>
      <c r="E88" s="106"/>
      <c r="F88" s="183"/>
      <c r="G88" s="8"/>
      <c r="H88" s="8"/>
      <c r="I88" s="8"/>
      <c r="J88" s="8"/>
      <c r="K88" s="8"/>
      <c r="L88" s="8"/>
    </row>
    <row r="89" spans="1:12" ht="15" x14ac:dyDescent="0.25">
      <c r="A89" s="106"/>
      <c r="B89" s="184"/>
      <c r="C89" s="106"/>
      <c r="D89" s="106"/>
      <c r="E89" s="106"/>
      <c r="F89" s="183"/>
      <c r="G89" s="8"/>
      <c r="H89" s="8"/>
      <c r="I89" s="8"/>
      <c r="J89" s="8"/>
      <c r="K89" s="8"/>
      <c r="L89" s="8"/>
    </row>
    <row r="90" spans="1:12" ht="17.399999999999999" x14ac:dyDescent="0.3">
      <c r="A90" s="186"/>
      <c r="B90" s="106"/>
      <c r="C90" s="106"/>
      <c r="D90" s="106"/>
      <c r="E90" s="106"/>
      <c r="F90" s="183"/>
      <c r="G90" s="8"/>
      <c r="H90" s="8"/>
      <c r="I90" s="8"/>
      <c r="J90" s="8"/>
      <c r="K90" s="8"/>
      <c r="L90" s="8"/>
    </row>
    <row r="91" spans="1:12" ht="15" x14ac:dyDescent="0.25">
      <c r="A91" s="106"/>
      <c r="B91" s="184"/>
      <c r="C91" s="106"/>
      <c r="D91" s="106"/>
      <c r="E91" s="106"/>
      <c r="F91" s="183"/>
      <c r="G91" s="8"/>
      <c r="H91" s="8"/>
      <c r="I91" s="8"/>
      <c r="J91" s="8"/>
      <c r="K91" s="8"/>
      <c r="L91" s="8"/>
    </row>
    <row r="92" spans="1:12" ht="15" x14ac:dyDescent="0.25">
      <c r="A92" s="106"/>
      <c r="B92" s="184"/>
      <c r="C92" s="106"/>
      <c r="D92" s="106"/>
      <c r="E92" s="106"/>
      <c r="F92" s="183"/>
      <c r="G92" s="8"/>
      <c r="H92" s="8"/>
      <c r="I92" s="8"/>
      <c r="J92" s="8"/>
      <c r="K92" s="8"/>
      <c r="L92" s="8"/>
    </row>
    <row r="93" spans="1:12" ht="15" x14ac:dyDescent="0.25">
      <c r="A93" s="106"/>
      <c r="B93" s="184"/>
      <c r="C93" s="106"/>
      <c r="D93" s="106"/>
      <c r="E93" s="106"/>
      <c r="F93" s="183"/>
      <c r="G93" s="8"/>
      <c r="H93" s="8"/>
      <c r="I93" s="8"/>
      <c r="J93" s="8"/>
      <c r="K93" s="8"/>
      <c r="L93" s="8"/>
    </row>
    <row r="94" spans="1:12" ht="15" x14ac:dyDescent="0.25">
      <c r="A94" s="106"/>
      <c r="B94" s="184"/>
      <c r="C94" s="106"/>
      <c r="D94" s="106"/>
      <c r="E94" s="106"/>
      <c r="F94" s="183"/>
      <c r="G94" s="8"/>
      <c r="H94" s="8"/>
      <c r="I94" s="8"/>
      <c r="J94" s="8"/>
      <c r="K94" s="8"/>
      <c r="L94" s="8"/>
    </row>
    <row r="95" spans="1:12" ht="15" x14ac:dyDescent="0.25">
      <c r="A95" s="106"/>
      <c r="B95" s="184"/>
      <c r="C95" s="106"/>
      <c r="D95" s="106"/>
      <c r="E95" s="106"/>
      <c r="F95" s="183"/>
      <c r="G95" s="8"/>
      <c r="H95" s="8"/>
      <c r="I95" s="8"/>
      <c r="J95" s="8"/>
      <c r="K95" s="8"/>
      <c r="L95" s="8"/>
    </row>
    <row r="96" spans="1:12" ht="17.399999999999999" x14ac:dyDescent="0.3">
      <c r="A96" s="186"/>
      <c r="B96" s="184"/>
      <c r="C96" s="106"/>
      <c r="D96" s="106"/>
      <c r="E96" s="106"/>
      <c r="F96" s="183"/>
      <c r="G96" s="8"/>
      <c r="H96" s="8"/>
      <c r="I96" s="8"/>
      <c r="J96" s="8"/>
      <c r="K96" s="8"/>
      <c r="L96" s="8"/>
    </row>
    <row r="97" spans="1:12" ht="15" x14ac:dyDescent="0.25">
      <c r="A97" s="106"/>
      <c r="B97" s="184"/>
      <c r="C97" s="185"/>
      <c r="D97" s="106"/>
      <c r="E97" s="106"/>
      <c r="F97" s="183"/>
      <c r="G97" s="8"/>
      <c r="H97" s="8"/>
      <c r="I97" s="8"/>
      <c r="J97" s="8"/>
      <c r="K97" s="8"/>
      <c r="L97" s="8"/>
    </row>
    <row r="98" spans="1:12" ht="15" x14ac:dyDescent="0.25">
      <c r="A98" s="106"/>
      <c r="B98" s="184"/>
      <c r="C98" s="185"/>
      <c r="D98" s="106"/>
      <c r="E98" s="106"/>
      <c r="F98" s="183"/>
      <c r="G98" s="8"/>
      <c r="H98" s="8"/>
      <c r="I98" s="8"/>
      <c r="J98" s="8"/>
      <c r="K98" s="8"/>
      <c r="L98" s="8"/>
    </row>
    <row r="99" spans="1:12" ht="15" x14ac:dyDescent="0.25">
      <c r="A99" s="106"/>
      <c r="B99" s="184"/>
      <c r="C99" s="185"/>
      <c r="D99" s="106"/>
      <c r="E99" s="106"/>
      <c r="F99" s="183"/>
      <c r="G99" s="8"/>
      <c r="H99" s="8"/>
      <c r="I99" s="8"/>
      <c r="J99" s="8"/>
      <c r="K99" s="8"/>
      <c r="L99" s="8"/>
    </row>
    <row r="100" spans="1:12" ht="15" x14ac:dyDescent="0.25">
      <c r="A100" s="106"/>
      <c r="B100" s="184"/>
      <c r="C100" s="106"/>
      <c r="D100" s="106"/>
      <c r="E100" s="106"/>
      <c r="F100" s="183"/>
      <c r="G100" s="8"/>
      <c r="H100" s="8"/>
      <c r="I100" s="8"/>
      <c r="J100" s="8"/>
      <c r="K100" s="8"/>
      <c r="L100" s="8"/>
    </row>
    <row r="101" spans="1:12" ht="15" x14ac:dyDescent="0.25">
      <c r="A101" s="106"/>
      <c r="B101" s="184"/>
      <c r="C101" s="106"/>
      <c r="D101" s="106"/>
      <c r="E101" s="106"/>
      <c r="F101" s="183"/>
      <c r="G101" s="8"/>
      <c r="H101" s="8"/>
      <c r="I101" s="8"/>
      <c r="J101" s="8"/>
      <c r="K101" s="8"/>
      <c r="L101" s="8"/>
    </row>
    <row r="102" spans="1:12" ht="17.399999999999999" x14ac:dyDescent="0.3">
      <c r="A102" s="186"/>
      <c r="B102" s="184"/>
      <c r="C102" s="106"/>
      <c r="D102" s="106"/>
      <c r="E102" s="106"/>
      <c r="F102" s="183"/>
      <c r="G102" s="8"/>
      <c r="H102" s="8"/>
      <c r="I102" s="8"/>
      <c r="J102" s="8"/>
      <c r="K102" s="8"/>
      <c r="L102" s="8"/>
    </row>
    <row r="103" spans="1:12" ht="15" x14ac:dyDescent="0.25">
      <c r="A103" s="106"/>
      <c r="B103" s="184"/>
      <c r="C103" s="106"/>
      <c r="D103" s="106"/>
      <c r="E103" s="106"/>
      <c r="F103" s="183"/>
      <c r="G103" s="8"/>
      <c r="H103" s="8"/>
      <c r="I103" s="8"/>
      <c r="J103" s="8"/>
      <c r="K103" s="8"/>
      <c r="L103" s="8"/>
    </row>
    <row r="104" spans="1:12" ht="15" x14ac:dyDescent="0.25">
      <c r="A104" s="106"/>
      <c r="B104" s="184"/>
      <c r="C104" s="106"/>
      <c r="D104" s="106"/>
      <c r="E104" s="106"/>
      <c r="F104" s="183"/>
      <c r="G104" s="8"/>
      <c r="H104" s="8"/>
      <c r="I104" s="8"/>
      <c r="J104" s="8"/>
      <c r="K104" s="8"/>
      <c r="L104" s="8"/>
    </row>
    <row r="105" spans="1:12" ht="15" x14ac:dyDescent="0.25">
      <c r="A105" s="106"/>
      <c r="B105" s="184"/>
      <c r="C105" s="106"/>
      <c r="D105" s="106"/>
      <c r="E105" s="106"/>
      <c r="F105" s="183"/>
      <c r="G105" s="8"/>
      <c r="H105" s="8"/>
      <c r="I105" s="8"/>
      <c r="J105" s="8"/>
      <c r="K105" s="8"/>
      <c r="L105" s="8"/>
    </row>
    <row r="106" spans="1:12" ht="15" x14ac:dyDescent="0.25">
      <c r="A106" s="106"/>
      <c r="B106" s="184"/>
      <c r="C106" s="106"/>
      <c r="D106" s="106"/>
      <c r="E106" s="106"/>
      <c r="F106" s="183"/>
      <c r="G106" s="8"/>
      <c r="H106" s="8"/>
      <c r="I106" s="8"/>
      <c r="J106" s="8"/>
      <c r="K106" s="8"/>
      <c r="L106" s="8"/>
    </row>
    <row r="107" spans="1:12" ht="17.399999999999999" x14ac:dyDescent="0.3">
      <c r="A107" s="186"/>
      <c r="B107" s="184"/>
      <c r="C107" s="106"/>
      <c r="D107" s="106"/>
      <c r="E107" s="106"/>
      <c r="F107" s="183"/>
      <c r="G107" s="8"/>
      <c r="H107" s="8"/>
      <c r="I107" s="8"/>
      <c r="J107" s="8"/>
      <c r="K107" s="8"/>
      <c r="L107" s="8"/>
    </row>
    <row r="108" spans="1:12" ht="15" x14ac:dyDescent="0.25">
      <c r="A108" s="106"/>
      <c r="B108" s="184"/>
      <c r="C108" s="106"/>
      <c r="D108" s="106"/>
      <c r="E108" s="106"/>
      <c r="F108" s="183"/>
      <c r="G108" s="8"/>
      <c r="H108" s="8"/>
      <c r="I108" s="8"/>
      <c r="J108" s="8"/>
      <c r="K108" s="8"/>
      <c r="L108" s="8"/>
    </row>
    <row r="109" spans="1:12" ht="15" x14ac:dyDescent="0.25">
      <c r="A109" s="106"/>
      <c r="B109" s="184"/>
      <c r="C109" s="106"/>
      <c r="D109" s="106"/>
      <c r="E109" s="106"/>
      <c r="F109" s="183"/>
      <c r="G109" s="8"/>
      <c r="H109" s="8"/>
      <c r="I109" s="8"/>
      <c r="J109" s="8"/>
      <c r="K109" s="8"/>
      <c r="L109" s="8"/>
    </row>
    <row r="110" spans="1:12" ht="15" x14ac:dyDescent="0.25">
      <c r="A110" s="106"/>
      <c r="B110" s="184"/>
      <c r="C110" s="106"/>
      <c r="D110" s="106"/>
      <c r="E110" s="106"/>
      <c r="F110" s="183"/>
      <c r="G110" s="8"/>
      <c r="H110" s="8"/>
      <c r="I110" s="8"/>
      <c r="J110" s="8"/>
      <c r="K110" s="8"/>
      <c r="L110" s="8"/>
    </row>
    <row r="111" spans="1:12" ht="15" x14ac:dyDescent="0.25">
      <c r="A111" s="106"/>
      <c r="B111" s="184"/>
      <c r="C111" s="106"/>
      <c r="D111" s="106"/>
      <c r="E111" s="106"/>
      <c r="F111" s="183"/>
      <c r="G111" s="8"/>
      <c r="H111" s="8"/>
      <c r="I111" s="8"/>
      <c r="J111" s="8"/>
      <c r="K111" s="8"/>
      <c r="L111" s="8"/>
    </row>
    <row r="112" spans="1:12" ht="15" x14ac:dyDescent="0.25">
      <c r="A112" s="106"/>
      <c r="B112" s="184"/>
      <c r="C112" s="106"/>
      <c r="D112" s="106"/>
      <c r="E112" s="106"/>
      <c r="F112" s="183"/>
      <c r="G112" s="8"/>
      <c r="H112" s="8"/>
      <c r="I112" s="8"/>
      <c r="J112" s="8"/>
      <c r="K112" s="8"/>
      <c r="L112" s="8"/>
    </row>
    <row r="113" spans="1:12" ht="17.399999999999999" x14ac:dyDescent="0.3">
      <c r="A113" s="186"/>
      <c r="B113" s="184"/>
      <c r="C113" s="106"/>
      <c r="D113" s="106"/>
      <c r="E113" s="106"/>
      <c r="F113" s="183"/>
      <c r="G113" s="8"/>
      <c r="H113" s="8"/>
      <c r="I113" s="8"/>
      <c r="J113" s="8"/>
      <c r="K113" s="8"/>
      <c r="L113" s="8"/>
    </row>
    <row r="114" spans="1:12" ht="15" x14ac:dyDescent="0.25">
      <c r="A114" s="106"/>
      <c r="B114" s="184"/>
      <c r="C114" s="106"/>
      <c r="D114" s="106"/>
      <c r="E114" s="106"/>
      <c r="F114" s="183"/>
      <c r="G114" s="8"/>
      <c r="H114" s="8"/>
      <c r="I114" s="8"/>
      <c r="J114" s="8"/>
      <c r="K114" s="8"/>
      <c r="L114" s="8"/>
    </row>
    <row r="115" spans="1:12" ht="15" x14ac:dyDescent="0.25">
      <c r="A115" s="106"/>
      <c r="B115" s="184"/>
      <c r="C115" s="106"/>
      <c r="D115" s="106"/>
      <c r="E115" s="106"/>
      <c r="F115" s="183"/>
      <c r="G115" s="8"/>
      <c r="H115" s="8"/>
      <c r="I115" s="8"/>
      <c r="J115" s="8"/>
      <c r="K115" s="8"/>
      <c r="L115" s="8"/>
    </row>
    <row r="116" spans="1:12" ht="15" x14ac:dyDescent="0.25">
      <c r="A116" s="106"/>
      <c r="B116" s="184"/>
      <c r="C116" s="106"/>
      <c r="D116" s="106"/>
      <c r="E116" s="106"/>
      <c r="F116" s="183"/>
      <c r="G116" s="8"/>
      <c r="H116" s="8"/>
      <c r="I116" s="8"/>
      <c r="J116" s="8"/>
      <c r="K116" s="8"/>
      <c r="L116" s="8"/>
    </row>
    <row r="117" spans="1:12" ht="15" x14ac:dyDescent="0.25">
      <c r="A117" s="106"/>
      <c r="B117" s="184"/>
      <c r="C117" s="106"/>
      <c r="D117" s="106"/>
      <c r="E117" s="106"/>
      <c r="F117" s="183"/>
      <c r="G117" s="8"/>
      <c r="H117" s="8"/>
      <c r="I117" s="8"/>
      <c r="J117" s="8"/>
      <c r="K117" s="8"/>
      <c r="L117" s="8"/>
    </row>
    <row r="118" spans="1:12" ht="15" x14ac:dyDescent="0.25">
      <c r="A118" s="106"/>
      <c r="B118" s="184"/>
      <c r="C118" s="106"/>
      <c r="D118" s="106"/>
      <c r="E118" s="106"/>
      <c r="F118" s="183"/>
      <c r="G118" s="8"/>
      <c r="H118" s="8"/>
      <c r="I118" s="8"/>
      <c r="J118" s="8"/>
      <c r="K118" s="8"/>
      <c r="L118" s="8"/>
    </row>
    <row r="119" spans="1:12" ht="15" x14ac:dyDescent="0.25">
      <c r="A119" s="106"/>
      <c r="B119" s="184"/>
      <c r="C119" s="106"/>
      <c r="D119" s="106"/>
      <c r="E119" s="106"/>
      <c r="F119" s="183"/>
      <c r="G119" s="8"/>
      <c r="H119" s="8"/>
      <c r="I119" s="8"/>
      <c r="J119" s="8"/>
      <c r="K119" s="8"/>
      <c r="L119" s="8"/>
    </row>
    <row r="120" spans="1:12" ht="15" x14ac:dyDescent="0.25">
      <c r="A120" s="106"/>
      <c r="B120" s="184"/>
      <c r="C120" s="106"/>
      <c r="D120" s="106"/>
      <c r="E120" s="106"/>
      <c r="F120" s="183"/>
      <c r="G120" s="8"/>
      <c r="H120" s="8"/>
      <c r="I120" s="8"/>
      <c r="J120" s="8"/>
      <c r="K120" s="8"/>
      <c r="L120" s="8"/>
    </row>
    <row r="121" spans="1:12" ht="17.399999999999999" x14ac:dyDescent="0.3">
      <c r="A121" s="186"/>
      <c r="B121" s="105"/>
      <c r="C121" s="106"/>
      <c r="D121" s="106"/>
      <c r="E121" s="106"/>
      <c r="F121" s="183"/>
      <c r="G121" s="8"/>
      <c r="H121" s="8"/>
      <c r="I121" s="8"/>
      <c r="J121" s="8"/>
      <c r="K121" s="8"/>
      <c r="L121" s="8"/>
    </row>
    <row r="122" spans="1:12" ht="15" x14ac:dyDescent="0.25">
      <c r="A122" s="106"/>
      <c r="B122" s="184"/>
      <c r="C122" s="106"/>
      <c r="D122" s="106"/>
      <c r="E122" s="106"/>
      <c r="F122" s="183"/>
      <c r="G122" s="8"/>
      <c r="H122" s="8"/>
      <c r="I122" s="8"/>
      <c r="J122" s="8"/>
      <c r="K122" s="8"/>
      <c r="L122" s="8"/>
    </row>
    <row r="123" spans="1:12" ht="15" x14ac:dyDescent="0.25">
      <c r="A123" s="106"/>
      <c r="B123" s="184"/>
      <c r="C123" s="106"/>
      <c r="D123" s="106"/>
      <c r="E123" s="106"/>
      <c r="F123" s="183"/>
      <c r="G123" s="8"/>
      <c r="H123" s="8"/>
      <c r="I123" s="8"/>
      <c r="J123" s="8"/>
      <c r="K123" s="8"/>
      <c r="L123" s="8"/>
    </row>
    <row r="124" spans="1:12" ht="15" x14ac:dyDescent="0.25">
      <c r="A124" s="106"/>
      <c r="B124" s="184"/>
      <c r="C124" s="106"/>
      <c r="D124" s="106"/>
      <c r="E124" s="106"/>
      <c r="F124" s="183"/>
      <c r="G124" s="8"/>
      <c r="H124" s="8"/>
      <c r="I124" s="8"/>
      <c r="J124" s="8"/>
      <c r="K124" s="8"/>
      <c r="L124" s="8"/>
    </row>
    <row r="125" spans="1:12" ht="15" x14ac:dyDescent="0.25">
      <c r="A125" s="106"/>
      <c r="B125" s="184"/>
      <c r="C125" s="106"/>
      <c r="D125" s="106"/>
      <c r="E125" s="106"/>
      <c r="F125" s="183"/>
      <c r="G125" s="8"/>
      <c r="H125" s="8"/>
      <c r="I125" s="8"/>
      <c r="J125" s="8"/>
      <c r="K125" s="8"/>
      <c r="L125" s="8"/>
    </row>
    <row r="126" spans="1:12" ht="15" x14ac:dyDescent="0.25">
      <c r="A126" s="106"/>
      <c r="B126" s="184"/>
      <c r="C126" s="106"/>
      <c r="D126" s="106"/>
      <c r="E126" s="106"/>
      <c r="F126" s="183"/>
      <c r="G126" s="8"/>
      <c r="H126" s="8"/>
      <c r="I126" s="8"/>
      <c r="J126" s="8"/>
      <c r="K126" s="8"/>
      <c r="L126" s="8"/>
    </row>
    <row r="127" spans="1:12" ht="15" x14ac:dyDescent="0.25">
      <c r="A127" s="106"/>
      <c r="B127" s="184"/>
      <c r="C127" s="106"/>
      <c r="D127" s="106"/>
      <c r="E127" s="106"/>
      <c r="F127" s="183"/>
      <c r="G127" s="8"/>
      <c r="H127" s="8"/>
      <c r="I127" s="8"/>
      <c r="J127" s="8"/>
      <c r="K127" s="8"/>
      <c r="L127" s="8"/>
    </row>
    <row r="128" spans="1:12" ht="17.399999999999999" x14ac:dyDescent="0.3">
      <c r="A128" s="186"/>
      <c r="B128" s="184"/>
      <c r="C128" s="106"/>
      <c r="D128" s="106"/>
      <c r="E128" s="106"/>
      <c r="F128" s="183"/>
      <c r="G128" s="8"/>
      <c r="H128" s="8"/>
      <c r="I128" s="8"/>
      <c r="J128" s="8"/>
      <c r="K128" s="8"/>
      <c r="L128" s="8"/>
    </row>
    <row r="129" spans="1:12" ht="15" x14ac:dyDescent="0.25">
      <c r="A129" s="106"/>
      <c r="B129" s="184"/>
      <c r="C129" s="106"/>
      <c r="D129" s="106"/>
      <c r="E129" s="106"/>
      <c r="F129" s="183"/>
      <c r="G129" s="8"/>
      <c r="H129" s="8"/>
      <c r="I129" s="8"/>
      <c r="J129" s="8"/>
      <c r="K129" s="8"/>
      <c r="L129" s="8"/>
    </row>
    <row r="130" spans="1:12" ht="15" x14ac:dyDescent="0.25">
      <c r="A130" s="106"/>
      <c r="B130" s="184"/>
      <c r="C130" s="106"/>
      <c r="D130" s="106"/>
      <c r="E130" s="106"/>
      <c r="F130" s="183"/>
      <c r="G130" s="8"/>
      <c r="H130" s="8"/>
      <c r="I130" s="8"/>
      <c r="J130" s="8"/>
      <c r="K130" s="8"/>
      <c r="L130" s="8"/>
    </row>
    <row r="131" spans="1:12" ht="15" x14ac:dyDescent="0.25">
      <c r="A131" s="106"/>
      <c r="B131" s="184"/>
      <c r="C131" s="106"/>
      <c r="D131" s="106"/>
      <c r="E131" s="106"/>
      <c r="F131" s="183"/>
      <c r="G131" s="8"/>
      <c r="H131" s="8"/>
      <c r="I131" s="8"/>
      <c r="J131" s="8"/>
      <c r="K131" s="8"/>
      <c r="L131" s="8"/>
    </row>
    <row r="132" spans="1:12" ht="17.399999999999999" x14ac:dyDescent="0.3">
      <c r="A132" s="186"/>
      <c r="B132" s="184"/>
      <c r="C132" s="106"/>
      <c r="D132" s="106"/>
      <c r="E132" s="106"/>
      <c r="F132" s="183"/>
      <c r="G132" s="8"/>
      <c r="H132" s="8"/>
      <c r="I132" s="8"/>
      <c r="J132" s="8"/>
      <c r="K132" s="8"/>
      <c r="L132" s="8"/>
    </row>
    <row r="133" spans="1:12" ht="15" x14ac:dyDescent="0.25">
      <c r="A133" s="106"/>
      <c r="B133" s="184"/>
      <c r="C133" s="106"/>
      <c r="D133" s="106"/>
      <c r="E133" s="106"/>
      <c r="F133" s="183"/>
      <c r="G133" s="8"/>
      <c r="H133" s="8"/>
      <c r="I133" s="8"/>
      <c r="J133" s="8"/>
      <c r="K133" s="8"/>
      <c r="L133" s="8"/>
    </row>
    <row r="134" spans="1:12" ht="15" x14ac:dyDescent="0.25">
      <c r="A134" s="106"/>
      <c r="B134" s="184"/>
      <c r="C134" s="106"/>
      <c r="D134" s="106"/>
      <c r="E134" s="106"/>
      <c r="F134" s="183"/>
      <c r="G134" s="8"/>
      <c r="H134" s="8"/>
      <c r="I134" s="8"/>
      <c r="J134" s="8"/>
      <c r="K134" s="8"/>
      <c r="L134" s="8"/>
    </row>
    <row r="135" spans="1:12" ht="15" x14ac:dyDescent="0.25">
      <c r="A135" s="106"/>
      <c r="B135" s="184"/>
      <c r="C135" s="106"/>
      <c r="D135" s="106"/>
      <c r="E135" s="106"/>
      <c r="F135" s="183"/>
      <c r="G135" s="8"/>
      <c r="H135" s="8"/>
      <c r="I135" s="8"/>
      <c r="J135" s="8"/>
      <c r="K135" s="8"/>
      <c r="L135" s="8"/>
    </row>
    <row r="136" spans="1:12" ht="15" x14ac:dyDescent="0.25">
      <c r="A136" s="106"/>
      <c r="B136" s="184"/>
      <c r="C136" s="106"/>
      <c r="D136" s="106"/>
      <c r="E136" s="106"/>
      <c r="F136" s="183"/>
      <c r="G136" s="8"/>
      <c r="H136" s="8"/>
      <c r="I136" s="8"/>
      <c r="J136" s="8"/>
      <c r="K136" s="8"/>
      <c r="L136" s="8"/>
    </row>
    <row r="137" spans="1:12" ht="15" x14ac:dyDescent="0.25">
      <c r="A137" s="106"/>
      <c r="B137" s="184"/>
      <c r="C137" s="106"/>
      <c r="D137" s="106"/>
      <c r="E137" s="106"/>
      <c r="F137" s="183"/>
      <c r="G137" s="8"/>
      <c r="H137" s="8"/>
      <c r="I137" s="8"/>
      <c r="J137" s="8"/>
      <c r="K137" s="8"/>
      <c r="L137" s="8"/>
    </row>
    <row r="138" spans="1:12" ht="15" x14ac:dyDescent="0.25">
      <c r="A138" s="106"/>
      <c r="B138" s="184"/>
      <c r="C138" s="106"/>
      <c r="D138" s="106"/>
      <c r="E138" s="106"/>
      <c r="F138" s="183"/>
      <c r="G138" s="8"/>
      <c r="H138" s="8"/>
      <c r="I138" s="8"/>
      <c r="J138" s="8"/>
      <c r="K138" s="8"/>
      <c r="L138" s="8"/>
    </row>
    <row r="139" spans="1:12" ht="17.399999999999999" x14ac:dyDescent="0.3">
      <c r="A139" s="186"/>
      <c r="B139" s="184"/>
      <c r="C139" s="106"/>
      <c r="D139" s="106"/>
      <c r="E139" s="106"/>
      <c r="F139" s="183"/>
      <c r="G139" s="8"/>
      <c r="H139" s="8"/>
      <c r="I139" s="8"/>
      <c r="J139" s="8"/>
      <c r="K139" s="8"/>
      <c r="L139" s="8"/>
    </row>
    <row r="140" spans="1:12" ht="15" x14ac:dyDescent="0.25">
      <c r="A140" s="106"/>
      <c r="B140" s="184"/>
      <c r="C140" s="106"/>
      <c r="D140" s="106"/>
      <c r="E140" s="106"/>
      <c r="F140" s="183"/>
      <c r="G140" s="8"/>
      <c r="H140" s="8"/>
      <c r="I140" s="8"/>
      <c r="J140" s="8"/>
      <c r="K140" s="8"/>
      <c r="L140" s="8"/>
    </row>
    <row r="141" spans="1:12" ht="15" x14ac:dyDescent="0.25">
      <c r="A141" s="106"/>
      <c r="B141" s="184"/>
      <c r="C141" s="106"/>
      <c r="D141" s="106"/>
      <c r="E141" s="106"/>
      <c r="F141" s="183"/>
      <c r="G141" s="8"/>
      <c r="H141" s="8"/>
      <c r="I141" s="8"/>
      <c r="J141" s="8"/>
      <c r="K141" s="8"/>
      <c r="L141" s="8"/>
    </row>
    <row r="142" spans="1:12" ht="15" x14ac:dyDescent="0.25">
      <c r="A142" s="106"/>
      <c r="B142" s="184"/>
      <c r="C142" s="106"/>
      <c r="D142" s="106"/>
      <c r="E142" s="106"/>
      <c r="F142" s="183"/>
      <c r="G142" s="8"/>
      <c r="H142" s="8"/>
      <c r="I142" s="8"/>
      <c r="J142" s="8"/>
      <c r="K142" s="8"/>
      <c r="L142" s="8"/>
    </row>
    <row r="143" spans="1:12" ht="15" x14ac:dyDescent="0.25">
      <c r="A143" s="106"/>
      <c r="B143" s="184"/>
      <c r="C143" s="106"/>
      <c r="D143" s="106"/>
      <c r="E143" s="106"/>
      <c r="F143" s="183"/>
      <c r="G143" s="8"/>
      <c r="H143" s="8"/>
      <c r="I143" s="8"/>
      <c r="J143" s="8"/>
      <c r="K143" s="8"/>
      <c r="L143" s="8"/>
    </row>
    <row r="144" spans="1:12" ht="15" x14ac:dyDescent="0.25">
      <c r="A144" s="106"/>
      <c r="B144" s="184"/>
      <c r="C144" s="106"/>
      <c r="D144" s="106"/>
      <c r="E144" s="106"/>
      <c r="F144" s="183"/>
      <c r="G144" s="8"/>
      <c r="H144" s="8"/>
      <c r="I144" s="8"/>
      <c r="J144" s="8"/>
      <c r="K144" s="8"/>
      <c r="L144" s="8"/>
    </row>
    <row r="145" spans="1:12" ht="15" x14ac:dyDescent="0.25">
      <c r="A145" s="106"/>
      <c r="B145" s="184"/>
      <c r="C145" s="106"/>
      <c r="D145" s="106"/>
      <c r="E145" s="106"/>
      <c r="F145" s="183"/>
      <c r="G145" s="8"/>
      <c r="H145" s="8"/>
      <c r="I145" s="8"/>
      <c r="J145" s="8"/>
      <c r="K145" s="8"/>
      <c r="L145" s="8"/>
    </row>
    <row r="146" spans="1:12" ht="15" x14ac:dyDescent="0.25">
      <c r="A146" s="106"/>
      <c r="B146" s="184"/>
      <c r="C146" s="106"/>
      <c r="D146" s="106"/>
      <c r="E146" s="106"/>
      <c r="F146" s="183"/>
      <c r="G146" s="8"/>
      <c r="H146" s="8"/>
      <c r="I146" s="8"/>
      <c r="J146" s="8"/>
      <c r="K146" s="8"/>
      <c r="L146" s="8"/>
    </row>
    <row r="147" spans="1:12" ht="15" x14ac:dyDescent="0.25">
      <c r="A147" s="106"/>
      <c r="B147" s="184"/>
      <c r="C147" s="106"/>
      <c r="D147" s="106"/>
      <c r="E147" s="106"/>
      <c r="F147" s="183"/>
      <c r="G147" s="8"/>
      <c r="H147" s="8"/>
      <c r="I147" s="8"/>
      <c r="J147" s="8"/>
      <c r="K147" s="8"/>
      <c r="L147" s="8"/>
    </row>
    <row r="148" spans="1:12" ht="15" x14ac:dyDescent="0.25">
      <c r="A148" s="106"/>
      <c r="B148" s="184"/>
      <c r="C148" s="106"/>
      <c r="D148" s="106"/>
      <c r="E148" s="106"/>
      <c r="F148" s="183"/>
      <c r="G148" s="8"/>
      <c r="H148" s="8"/>
      <c r="I148" s="8"/>
      <c r="J148" s="8"/>
      <c r="K148" s="8"/>
      <c r="L148" s="8"/>
    </row>
    <row r="149" spans="1:12" ht="15" x14ac:dyDescent="0.25">
      <c r="A149" s="106"/>
      <c r="B149" s="184"/>
      <c r="C149" s="106"/>
      <c r="D149" s="106"/>
      <c r="E149" s="106"/>
      <c r="F149" s="183"/>
      <c r="G149" s="8"/>
      <c r="H149" s="8"/>
      <c r="I149" s="8"/>
      <c r="J149" s="8"/>
      <c r="K149" s="8"/>
      <c r="L149" s="8"/>
    </row>
    <row r="150" spans="1:12" ht="17.399999999999999" x14ac:dyDescent="0.3">
      <c r="A150" s="186"/>
      <c r="B150" s="184"/>
      <c r="C150" s="106"/>
      <c r="D150" s="106"/>
      <c r="E150" s="106"/>
      <c r="F150" s="183"/>
      <c r="G150" s="8"/>
      <c r="H150" s="8"/>
      <c r="I150" s="8"/>
      <c r="J150" s="8"/>
      <c r="K150" s="8"/>
      <c r="L150" s="8"/>
    </row>
    <row r="151" spans="1:12" ht="15" x14ac:dyDescent="0.25">
      <c r="A151" s="106"/>
      <c r="B151" s="184"/>
      <c r="C151" s="106"/>
      <c r="D151" s="106"/>
      <c r="E151" s="106"/>
      <c r="F151" s="183"/>
      <c r="G151" s="8"/>
      <c r="H151" s="8"/>
      <c r="I151" s="8"/>
      <c r="J151" s="8"/>
      <c r="K151" s="8"/>
      <c r="L151" s="8"/>
    </row>
    <row r="152" spans="1:12" ht="15" x14ac:dyDescent="0.25">
      <c r="A152" s="106"/>
      <c r="B152" s="184"/>
      <c r="C152" s="106"/>
      <c r="D152" s="106"/>
      <c r="E152" s="106"/>
      <c r="F152" s="183"/>
      <c r="G152" s="8"/>
      <c r="H152" s="8"/>
      <c r="I152" s="8"/>
      <c r="J152" s="8"/>
      <c r="K152" s="8"/>
      <c r="L152" s="8"/>
    </row>
    <row r="153" spans="1:12" ht="17.399999999999999" x14ac:dyDescent="0.3">
      <c r="A153" s="186"/>
      <c r="B153" s="184"/>
      <c r="C153" s="106"/>
      <c r="D153" s="106"/>
      <c r="E153" s="106"/>
      <c r="F153" s="183"/>
      <c r="G153" s="8"/>
      <c r="H153" s="8"/>
      <c r="I153" s="8"/>
      <c r="J153" s="8"/>
      <c r="K153" s="8"/>
      <c r="L153" s="8"/>
    </row>
    <row r="154" spans="1:12" ht="15" x14ac:dyDescent="0.25">
      <c r="A154" s="106"/>
      <c r="B154" s="184"/>
      <c r="C154" s="106"/>
      <c r="D154" s="106"/>
      <c r="E154" s="106"/>
      <c r="F154" s="183"/>
      <c r="G154" s="8"/>
      <c r="H154" s="8"/>
      <c r="I154" s="8"/>
      <c r="J154" s="8"/>
      <c r="K154" s="8"/>
      <c r="L154" s="8"/>
    </row>
    <row r="155" spans="1:12" ht="15" x14ac:dyDescent="0.25">
      <c r="A155" s="106"/>
      <c r="B155" s="184"/>
      <c r="C155" s="106"/>
      <c r="D155" s="106"/>
      <c r="E155" s="106"/>
      <c r="F155" s="183"/>
      <c r="G155" s="8"/>
      <c r="H155" s="8"/>
      <c r="I155" s="8"/>
      <c r="J155" s="8"/>
      <c r="K155" s="8"/>
      <c r="L155" s="8"/>
    </row>
    <row r="156" spans="1:12" ht="15" x14ac:dyDescent="0.25">
      <c r="A156" s="106"/>
      <c r="B156" s="184"/>
      <c r="C156" s="106"/>
      <c r="D156" s="106"/>
      <c r="E156" s="106"/>
      <c r="F156" s="183"/>
      <c r="G156" s="8"/>
      <c r="H156" s="8"/>
      <c r="I156" s="8"/>
      <c r="J156" s="8"/>
      <c r="K156" s="8"/>
      <c r="L156" s="8"/>
    </row>
    <row r="157" spans="1:12" ht="15" x14ac:dyDescent="0.25">
      <c r="A157" s="106"/>
      <c r="B157" s="184"/>
      <c r="C157" s="106"/>
      <c r="D157" s="106"/>
      <c r="E157" s="106"/>
      <c r="F157" s="183"/>
      <c r="G157" s="8"/>
      <c r="H157" s="8"/>
      <c r="I157" s="8"/>
      <c r="J157" s="8"/>
      <c r="K157" s="8"/>
      <c r="L157" s="8"/>
    </row>
    <row r="158" spans="1:12" ht="15" x14ac:dyDescent="0.25">
      <c r="A158" s="106"/>
      <c r="B158" s="184"/>
      <c r="C158" s="106"/>
      <c r="D158" s="106"/>
      <c r="E158" s="106"/>
      <c r="F158" s="183"/>
      <c r="G158" s="8"/>
      <c r="H158" s="8"/>
      <c r="I158" s="8"/>
      <c r="J158" s="8"/>
      <c r="K158" s="8"/>
      <c r="L158" s="8"/>
    </row>
    <row r="159" spans="1:12" ht="17.399999999999999" x14ac:dyDescent="0.3">
      <c r="A159" s="186"/>
      <c r="B159" s="184"/>
      <c r="C159" s="106"/>
      <c r="D159" s="106"/>
      <c r="E159" s="106"/>
      <c r="F159" s="183"/>
      <c r="G159" s="8"/>
      <c r="H159" s="8"/>
      <c r="I159" s="8"/>
      <c r="J159" s="8"/>
      <c r="K159" s="8"/>
      <c r="L159" s="8"/>
    </row>
    <row r="160" spans="1:12" ht="15" x14ac:dyDescent="0.25">
      <c r="A160" s="106"/>
      <c r="B160" s="184"/>
      <c r="C160" s="106"/>
      <c r="D160" s="106"/>
      <c r="E160" s="106"/>
      <c r="F160" s="183"/>
      <c r="G160" s="8"/>
      <c r="H160" s="8"/>
      <c r="I160" s="8"/>
      <c r="J160" s="8"/>
      <c r="K160" s="8"/>
      <c r="L160" s="8"/>
    </row>
    <row r="161" spans="1:12" ht="15" x14ac:dyDescent="0.25">
      <c r="A161" s="106"/>
      <c r="B161" s="184"/>
      <c r="C161" s="106"/>
      <c r="D161" s="106"/>
      <c r="E161" s="106"/>
      <c r="F161" s="183"/>
      <c r="G161" s="8"/>
      <c r="H161" s="8"/>
      <c r="I161" s="8"/>
      <c r="J161" s="8"/>
      <c r="K161" s="8"/>
      <c r="L161" s="8"/>
    </row>
    <row r="162" spans="1:12" ht="17.399999999999999" x14ac:dyDescent="0.3">
      <c r="A162" s="186"/>
      <c r="B162" s="184"/>
      <c r="C162" s="106"/>
      <c r="D162" s="106"/>
      <c r="E162" s="106"/>
      <c r="F162" s="183"/>
      <c r="G162" s="8"/>
      <c r="H162" s="8"/>
      <c r="I162" s="8"/>
      <c r="J162" s="8"/>
      <c r="K162" s="8"/>
      <c r="L162" s="8"/>
    </row>
    <row r="163" spans="1:12" ht="15" x14ac:dyDescent="0.25">
      <c r="A163" s="106"/>
      <c r="B163" s="184"/>
      <c r="C163" s="106"/>
      <c r="D163" s="106"/>
      <c r="E163" s="106"/>
      <c r="F163" s="183"/>
      <c r="G163" s="8"/>
      <c r="H163" s="8"/>
      <c r="I163" s="8"/>
      <c r="J163" s="8"/>
      <c r="K163" s="8"/>
      <c r="L163" s="8"/>
    </row>
    <row r="164" spans="1:12" ht="15" x14ac:dyDescent="0.25">
      <c r="A164" s="106"/>
      <c r="B164" s="184"/>
      <c r="C164" s="106"/>
      <c r="D164" s="106"/>
      <c r="E164" s="106"/>
      <c r="F164" s="183"/>
      <c r="G164" s="8"/>
      <c r="H164" s="8"/>
      <c r="I164" s="8"/>
      <c r="J164" s="8"/>
      <c r="K164" s="8"/>
      <c r="L164" s="8"/>
    </row>
    <row r="165" spans="1:12" ht="15" x14ac:dyDescent="0.25">
      <c r="A165" s="106"/>
      <c r="B165" s="184"/>
      <c r="C165" s="106"/>
      <c r="D165" s="106"/>
      <c r="E165" s="106"/>
      <c r="F165" s="183"/>
      <c r="G165" s="8"/>
      <c r="H165" s="8"/>
      <c r="I165" s="8"/>
      <c r="J165" s="8"/>
      <c r="K165" s="8"/>
      <c r="L165" s="8"/>
    </row>
    <row r="166" spans="1:12" ht="15" x14ac:dyDescent="0.25">
      <c r="A166" s="106"/>
      <c r="B166" s="184"/>
      <c r="C166" s="106"/>
      <c r="D166" s="106"/>
      <c r="E166" s="106"/>
      <c r="F166" s="183"/>
      <c r="G166" s="8"/>
      <c r="H166" s="8"/>
      <c r="I166" s="8"/>
      <c r="J166" s="8"/>
      <c r="K166" s="8"/>
      <c r="L166" s="8"/>
    </row>
    <row r="167" spans="1:12" ht="15" x14ac:dyDescent="0.25">
      <c r="A167" s="106"/>
      <c r="B167" s="184"/>
      <c r="C167" s="106"/>
      <c r="D167" s="106"/>
      <c r="E167" s="106"/>
      <c r="F167" s="183"/>
      <c r="G167" s="8"/>
      <c r="H167" s="8"/>
      <c r="I167" s="8"/>
      <c r="J167" s="8"/>
      <c r="K167" s="8"/>
      <c r="L167" s="8"/>
    </row>
    <row r="168" spans="1:12" ht="17.399999999999999" x14ac:dyDescent="0.3">
      <c r="A168" s="186"/>
      <c r="B168" s="184"/>
      <c r="C168" s="106"/>
      <c r="D168" s="106"/>
      <c r="E168" s="106"/>
      <c r="F168" s="183"/>
      <c r="G168" s="8"/>
      <c r="H168" s="8"/>
      <c r="I168" s="8"/>
      <c r="J168" s="8"/>
      <c r="K168" s="8"/>
      <c r="L168" s="8"/>
    </row>
    <row r="169" spans="1:12" ht="15" x14ac:dyDescent="0.25">
      <c r="A169" s="106"/>
      <c r="B169" s="184"/>
      <c r="C169" s="106"/>
      <c r="D169" s="106"/>
      <c r="E169" s="106"/>
      <c r="F169" s="183"/>
      <c r="G169" s="8"/>
      <c r="H169" s="8"/>
      <c r="I169" s="8"/>
      <c r="J169" s="8"/>
      <c r="K169" s="8"/>
      <c r="L169" s="8"/>
    </row>
    <row r="170" spans="1:12" ht="15" x14ac:dyDescent="0.25">
      <c r="A170" s="106"/>
      <c r="B170" s="184"/>
      <c r="C170" s="106"/>
      <c r="D170" s="106"/>
      <c r="E170" s="106"/>
      <c r="F170" s="183"/>
      <c r="G170" s="8"/>
      <c r="H170" s="8"/>
      <c r="I170" s="8"/>
      <c r="J170" s="8"/>
      <c r="K170" s="8"/>
      <c r="L170" s="8"/>
    </row>
    <row r="171" spans="1:12" ht="15" x14ac:dyDescent="0.25">
      <c r="A171" s="106"/>
      <c r="B171" s="184"/>
      <c r="C171" s="106"/>
      <c r="D171" s="106"/>
      <c r="E171" s="106"/>
      <c r="F171" s="183"/>
      <c r="G171" s="8"/>
      <c r="H171" s="8"/>
      <c r="I171" s="8"/>
      <c r="J171" s="8"/>
      <c r="K171" s="8"/>
      <c r="L171" s="8"/>
    </row>
    <row r="172" spans="1:12" ht="15" x14ac:dyDescent="0.25">
      <c r="A172" s="106"/>
      <c r="B172" s="184"/>
      <c r="C172" s="106"/>
      <c r="D172" s="106"/>
      <c r="E172" s="106"/>
      <c r="F172" s="183"/>
      <c r="G172" s="8"/>
      <c r="H172" s="8"/>
      <c r="I172" s="8"/>
      <c r="J172" s="8"/>
      <c r="K172" s="8"/>
      <c r="L172" s="8"/>
    </row>
    <row r="173" spans="1:12" ht="15" x14ac:dyDescent="0.25">
      <c r="A173" s="106"/>
      <c r="B173" s="184"/>
      <c r="C173" s="106"/>
      <c r="D173" s="106"/>
      <c r="E173" s="106"/>
      <c r="F173" s="183"/>
      <c r="G173" s="8"/>
      <c r="H173" s="8"/>
      <c r="I173" s="8"/>
      <c r="J173" s="8"/>
      <c r="K173" s="8"/>
      <c r="L173" s="8"/>
    </row>
    <row r="174" spans="1:12" ht="15" x14ac:dyDescent="0.25">
      <c r="A174" s="106"/>
      <c r="B174" s="184"/>
      <c r="C174" s="106"/>
      <c r="D174" s="106"/>
      <c r="E174" s="106"/>
      <c r="F174" s="183"/>
      <c r="G174" s="8"/>
      <c r="H174" s="8"/>
      <c r="I174" s="8"/>
      <c r="J174" s="8"/>
      <c r="K174" s="8"/>
      <c r="L174" s="8"/>
    </row>
    <row r="175" spans="1:12" ht="15" x14ac:dyDescent="0.25">
      <c r="A175" s="106"/>
      <c r="B175" s="184"/>
      <c r="C175" s="106"/>
      <c r="D175" s="106"/>
      <c r="E175" s="106"/>
      <c r="F175" s="183"/>
      <c r="G175" s="8"/>
      <c r="H175" s="8"/>
      <c r="I175" s="8"/>
      <c r="J175" s="8"/>
      <c r="K175" s="8"/>
      <c r="L175" s="8"/>
    </row>
    <row r="176" spans="1:12" ht="15" x14ac:dyDescent="0.25">
      <c r="A176" s="106"/>
      <c r="B176" s="184"/>
      <c r="C176" s="106"/>
      <c r="D176" s="106"/>
      <c r="E176" s="106"/>
      <c r="F176" s="183"/>
      <c r="G176" s="8"/>
      <c r="H176" s="8"/>
      <c r="I176" s="8"/>
      <c r="J176" s="8"/>
      <c r="K176" s="8"/>
      <c r="L176" s="8"/>
    </row>
    <row r="177" spans="1:12" ht="17.399999999999999" x14ac:dyDescent="0.3">
      <c r="A177" s="186"/>
      <c r="B177" s="184"/>
      <c r="C177" s="106"/>
      <c r="D177" s="106"/>
      <c r="E177" s="106"/>
      <c r="F177" s="183"/>
      <c r="G177" s="8"/>
      <c r="H177" s="8"/>
      <c r="I177" s="8"/>
      <c r="J177" s="8"/>
      <c r="K177" s="8"/>
      <c r="L177" s="8"/>
    </row>
    <row r="178" spans="1:12" ht="15" x14ac:dyDescent="0.25">
      <c r="A178" s="106"/>
      <c r="B178" s="184"/>
      <c r="C178" s="106"/>
      <c r="D178" s="106"/>
      <c r="E178" s="106"/>
      <c r="F178" s="183"/>
      <c r="G178" s="8"/>
      <c r="H178" s="8"/>
      <c r="I178" s="8"/>
      <c r="J178" s="8"/>
      <c r="K178" s="8"/>
      <c r="L178" s="8"/>
    </row>
    <row r="179" spans="1:12" ht="15" x14ac:dyDescent="0.25">
      <c r="A179" s="106"/>
      <c r="B179" s="184"/>
      <c r="C179" s="106"/>
      <c r="D179" s="106"/>
      <c r="E179" s="106"/>
      <c r="F179" s="183"/>
      <c r="G179" s="8"/>
      <c r="H179" s="8"/>
      <c r="I179" s="8"/>
      <c r="J179" s="8"/>
      <c r="K179" s="8"/>
      <c r="L179" s="8"/>
    </row>
    <row r="180" spans="1:12" ht="15" x14ac:dyDescent="0.25">
      <c r="A180" s="106"/>
      <c r="B180" s="184"/>
      <c r="C180" s="106"/>
      <c r="D180" s="106"/>
      <c r="E180" s="106"/>
      <c r="F180" s="183"/>
      <c r="G180" s="8"/>
      <c r="H180" s="8"/>
      <c r="I180" s="8"/>
      <c r="J180" s="8"/>
      <c r="K180" s="8"/>
      <c r="L180" s="8"/>
    </row>
    <row r="181" spans="1:12" ht="17.399999999999999" x14ac:dyDescent="0.3">
      <c r="A181" s="186"/>
      <c r="B181" s="184"/>
      <c r="C181" s="185"/>
      <c r="D181" s="106"/>
      <c r="E181" s="106"/>
      <c r="F181" s="183"/>
      <c r="G181" s="8"/>
      <c r="H181" s="8"/>
      <c r="I181" s="8"/>
      <c r="J181" s="8"/>
      <c r="K181" s="8"/>
      <c r="L181" s="8"/>
    </row>
    <row r="182" spans="1:12" ht="15" x14ac:dyDescent="0.25">
      <c r="A182" s="106"/>
      <c r="B182" s="184"/>
      <c r="C182" s="106"/>
      <c r="D182" s="106"/>
      <c r="E182" s="106"/>
      <c r="F182" s="183"/>
      <c r="G182" s="8"/>
      <c r="H182" s="8"/>
      <c r="I182" s="8"/>
      <c r="J182" s="8"/>
      <c r="K182" s="8"/>
      <c r="L182" s="8"/>
    </row>
    <row r="183" spans="1:12" ht="15" x14ac:dyDescent="0.25">
      <c r="A183" s="106"/>
      <c r="B183" s="184"/>
      <c r="C183" s="106"/>
      <c r="D183" s="106"/>
      <c r="E183" s="106"/>
      <c r="F183" s="183"/>
      <c r="G183" s="8"/>
      <c r="H183" s="8"/>
      <c r="I183" s="8"/>
      <c r="J183" s="8"/>
      <c r="K183" s="8"/>
      <c r="L183" s="8"/>
    </row>
    <row r="184" spans="1:12" ht="15" x14ac:dyDescent="0.25">
      <c r="A184" s="106"/>
      <c r="B184" s="184"/>
      <c r="C184" s="106"/>
      <c r="D184" s="106"/>
      <c r="E184" s="106"/>
      <c r="F184" s="183"/>
      <c r="G184" s="8"/>
      <c r="H184" s="8"/>
      <c r="I184" s="8"/>
      <c r="J184" s="8"/>
      <c r="K184" s="8"/>
      <c r="L184" s="8"/>
    </row>
    <row r="185" spans="1:12" ht="15" x14ac:dyDescent="0.25">
      <c r="A185" s="106"/>
      <c r="B185" s="184"/>
      <c r="C185" s="106"/>
      <c r="D185" s="106"/>
      <c r="E185" s="106"/>
      <c r="F185" s="183"/>
      <c r="G185" s="8"/>
      <c r="H185" s="8"/>
      <c r="I185" s="8"/>
      <c r="J185" s="8"/>
      <c r="K185" s="8"/>
      <c r="L185" s="8"/>
    </row>
    <row r="186" spans="1:12" ht="15" x14ac:dyDescent="0.25">
      <c r="A186" s="106"/>
      <c r="B186" s="184"/>
      <c r="C186" s="106"/>
      <c r="D186" s="106"/>
      <c r="E186" s="106"/>
      <c r="F186" s="183"/>
      <c r="G186" s="8"/>
      <c r="H186" s="8"/>
      <c r="I186" s="8"/>
      <c r="J186" s="8"/>
      <c r="K186" s="8"/>
      <c r="L186" s="8"/>
    </row>
    <row r="187" spans="1:12" ht="15" x14ac:dyDescent="0.25">
      <c r="A187" s="106"/>
      <c r="B187" s="184"/>
      <c r="C187" s="106"/>
      <c r="D187" s="106"/>
      <c r="E187" s="106"/>
      <c r="F187" s="183"/>
      <c r="G187" s="8"/>
      <c r="H187" s="8"/>
      <c r="I187" s="8"/>
      <c r="J187" s="8"/>
      <c r="K187" s="8"/>
      <c r="L187" s="8"/>
    </row>
    <row r="188" spans="1:12" ht="15" x14ac:dyDescent="0.25">
      <c r="A188" s="106"/>
      <c r="B188" s="184"/>
      <c r="C188" s="106"/>
      <c r="D188" s="106"/>
      <c r="E188" s="106"/>
      <c r="F188" s="183"/>
      <c r="G188" s="8"/>
      <c r="H188" s="8"/>
      <c r="I188" s="8"/>
      <c r="J188" s="8"/>
      <c r="K188" s="8"/>
      <c r="L188" s="8"/>
    </row>
    <row r="189" spans="1:12" ht="15" x14ac:dyDescent="0.25">
      <c r="A189" s="106"/>
      <c r="B189" s="184"/>
      <c r="C189" s="106"/>
      <c r="D189" s="106"/>
      <c r="E189" s="106"/>
      <c r="F189" s="183"/>
      <c r="G189" s="8"/>
      <c r="H189" s="8"/>
      <c r="I189" s="8"/>
      <c r="J189" s="8"/>
      <c r="K189" s="8"/>
      <c r="L189" s="8"/>
    </row>
    <row r="190" spans="1:12" ht="15" x14ac:dyDescent="0.25">
      <c r="A190" s="106"/>
      <c r="B190" s="184"/>
      <c r="C190" s="106"/>
      <c r="D190" s="106"/>
      <c r="E190" s="106"/>
      <c r="F190" s="183"/>
      <c r="G190" s="8"/>
      <c r="H190" s="8"/>
      <c r="I190" s="8"/>
      <c r="J190" s="8"/>
      <c r="K190" s="8"/>
      <c r="L190" s="8"/>
    </row>
    <row r="191" spans="1:12" ht="15" x14ac:dyDescent="0.25">
      <c r="A191" s="106"/>
      <c r="B191" s="184"/>
      <c r="C191" s="106"/>
      <c r="D191" s="106"/>
      <c r="E191" s="106"/>
      <c r="F191" s="183"/>
      <c r="G191" s="8"/>
      <c r="H191" s="8"/>
      <c r="I191" s="8"/>
      <c r="J191" s="8"/>
      <c r="K191" s="8"/>
      <c r="L191" s="8"/>
    </row>
    <row r="192" spans="1:12" ht="15" x14ac:dyDescent="0.25">
      <c r="A192" s="106"/>
      <c r="B192" s="184"/>
      <c r="C192" s="106"/>
      <c r="D192" s="106"/>
      <c r="E192" s="106"/>
      <c r="F192" s="183"/>
      <c r="G192" s="8"/>
      <c r="H192" s="8"/>
      <c r="I192" s="8"/>
      <c r="J192" s="8"/>
      <c r="K192" s="8"/>
      <c r="L192" s="8"/>
    </row>
    <row r="193" spans="1:12" ht="15" x14ac:dyDescent="0.25">
      <c r="A193" s="106"/>
      <c r="B193" s="184"/>
      <c r="C193" s="106"/>
      <c r="D193" s="106"/>
      <c r="E193" s="106"/>
      <c r="F193" s="183"/>
      <c r="G193" s="8"/>
      <c r="H193" s="8"/>
      <c r="I193" s="8"/>
      <c r="J193" s="8"/>
      <c r="K193" s="8"/>
      <c r="L193" s="8"/>
    </row>
    <row r="194" spans="1:12" ht="15" x14ac:dyDescent="0.25">
      <c r="A194" s="106"/>
      <c r="B194" s="184"/>
      <c r="C194" s="106"/>
      <c r="D194" s="106"/>
      <c r="E194" s="106"/>
      <c r="F194" s="183"/>
      <c r="G194" s="8"/>
      <c r="H194" s="8"/>
      <c r="I194" s="8"/>
      <c r="J194" s="8"/>
      <c r="K194" s="8"/>
      <c r="L194" s="8"/>
    </row>
    <row r="195" spans="1:12" ht="15" x14ac:dyDescent="0.25">
      <c r="A195" s="106"/>
      <c r="B195" s="184"/>
      <c r="C195" s="106"/>
      <c r="D195" s="106"/>
      <c r="E195" s="106"/>
      <c r="F195" s="183"/>
      <c r="G195" s="8"/>
      <c r="H195" s="8"/>
      <c r="I195" s="8"/>
      <c r="J195" s="8"/>
      <c r="K195" s="8"/>
      <c r="L195" s="8"/>
    </row>
    <row r="196" spans="1:12" ht="15" x14ac:dyDescent="0.25">
      <c r="A196" s="106"/>
      <c r="B196" s="184"/>
      <c r="C196" s="106"/>
      <c r="D196" s="106"/>
      <c r="E196" s="106"/>
      <c r="F196" s="183"/>
      <c r="G196" s="8"/>
      <c r="H196" s="8"/>
      <c r="I196" s="8"/>
      <c r="J196" s="8"/>
      <c r="K196" s="8"/>
      <c r="L196" s="8"/>
    </row>
    <row r="197" spans="1:12" ht="15" x14ac:dyDescent="0.25">
      <c r="A197" s="106"/>
      <c r="B197" s="184"/>
      <c r="C197" s="106"/>
      <c r="D197" s="106"/>
      <c r="E197" s="106"/>
      <c r="F197" s="183"/>
      <c r="G197" s="8"/>
      <c r="H197" s="8"/>
      <c r="I197" s="8"/>
      <c r="J197" s="8"/>
      <c r="K197" s="8"/>
      <c r="L197" s="8"/>
    </row>
    <row r="198" spans="1:12" ht="15" x14ac:dyDescent="0.25">
      <c r="A198" s="106"/>
      <c r="B198" s="184"/>
      <c r="C198" s="106"/>
      <c r="D198" s="106"/>
      <c r="E198" s="106"/>
      <c r="F198" s="183"/>
      <c r="G198" s="8"/>
      <c r="H198" s="8"/>
      <c r="I198" s="8"/>
      <c r="J198" s="8"/>
      <c r="K198" s="8"/>
      <c r="L198" s="8"/>
    </row>
    <row r="199" spans="1:12" ht="17.399999999999999" x14ac:dyDescent="0.3">
      <c r="A199" s="186"/>
      <c r="B199" s="184"/>
      <c r="C199" s="106"/>
      <c r="D199" s="106"/>
      <c r="E199" s="106"/>
      <c r="F199" s="183"/>
      <c r="G199" s="8"/>
      <c r="H199" s="8"/>
      <c r="I199" s="8"/>
      <c r="J199" s="8"/>
      <c r="K199" s="8"/>
      <c r="L199" s="8"/>
    </row>
    <row r="200" spans="1:12" ht="15" x14ac:dyDescent="0.25">
      <c r="A200" s="106"/>
      <c r="B200" s="184"/>
      <c r="C200" s="106"/>
      <c r="D200" s="106"/>
      <c r="E200" s="106"/>
      <c r="F200" s="183"/>
      <c r="G200" s="8"/>
      <c r="H200" s="8"/>
      <c r="I200" s="8"/>
      <c r="J200" s="8"/>
      <c r="K200" s="8"/>
      <c r="L200" s="8"/>
    </row>
    <row r="201" spans="1:12" ht="15" x14ac:dyDescent="0.25">
      <c r="A201" s="106"/>
      <c r="B201" s="184"/>
      <c r="C201" s="106"/>
      <c r="D201" s="106"/>
      <c r="E201" s="106"/>
      <c r="F201" s="183"/>
      <c r="G201" s="8"/>
      <c r="H201" s="8"/>
      <c r="I201" s="8"/>
      <c r="J201" s="8"/>
      <c r="K201" s="8"/>
      <c r="L201" s="8"/>
    </row>
    <row r="202" spans="1:12" ht="15" x14ac:dyDescent="0.25">
      <c r="A202" s="106"/>
      <c r="B202" s="184"/>
      <c r="C202" s="106"/>
      <c r="D202" s="106"/>
      <c r="E202" s="106"/>
      <c r="F202" s="183"/>
      <c r="G202" s="8"/>
      <c r="H202" s="8"/>
      <c r="I202" s="8"/>
      <c r="J202" s="8"/>
      <c r="K202" s="8"/>
      <c r="L202" s="8"/>
    </row>
    <row r="203" spans="1:12" ht="15" x14ac:dyDescent="0.25">
      <c r="A203" s="106"/>
      <c r="B203" s="184"/>
      <c r="C203" s="106"/>
      <c r="D203" s="106"/>
      <c r="E203" s="106"/>
      <c r="F203" s="183"/>
      <c r="G203" s="8"/>
      <c r="H203" s="8"/>
      <c r="I203" s="8"/>
      <c r="J203" s="8"/>
      <c r="K203" s="8"/>
      <c r="L203" s="8"/>
    </row>
    <row r="204" spans="1:12" ht="15" x14ac:dyDescent="0.25">
      <c r="A204" s="106"/>
      <c r="B204" s="184"/>
      <c r="C204" s="106"/>
      <c r="D204" s="106"/>
      <c r="E204" s="106"/>
      <c r="F204" s="183"/>
      <c r="G204" s="8"/>
      <c r="H204" s="8"/>
      <c r="I204" s="8"/>
      <c r="J204" s="8"/>
      <c r="K204" s="8"/>
      <c r="L204" s="8"/>
    </row>
    <row r="205" spans="1:12" ht="15" x14ac:dyDescent="0.25">
      <c r="A205" s="106"/>
      <c r="B205" s="106"/>
      <c r="C205" s="106"/>
      <c r="D205" s="106"/>
      <c r="E205" s="106"/>
      <c r="F205" s="183"/>
      <c r="G205" s="8"/>
      <c r="H205" s="8"/>
      <c r="I205" s="8"/>
      <c r="J205" s="8"/>
      <c r="K205" s="8"/>
      <c r="L205" s="8"/>
    </row>
    <row r="206" spans="1:12" ht="15" x14ac:dyDescent="0.25">
      <c r="A206" s="106"/>
      <c r="B206" s="106"/>
      <c r="C206" s="106"/>
      <c r="D206" s="106"/>
      <c r="E206" s="106"/>
      <c r="F206" s="183"/>
      <c r="G206" s="8"/>
      <c r="H206" s="8"/>
      <c r="I206" s="8"/>
      <c r="J206" s="8"/>
      <c r="K206" s="8"/>
      <c r="L206" s="8"/>
    </row>
    <row r="207" spans="1:12" ht="15" x14ac:dyDescent="0.25">
      <c r="A207" s="106"/>
      <c r="B207" s="106"/>
      <c r="C207" s="106"/>
      <c r="D207" s="106"/>
      <c r="E207" s="106"/>
      <c r="F207" s="183"/>
      <c r="G207" s="8"/>
      <c r="H207" s="8"/>
      <c r="I207" s="8"/>
      <c r="J207" s="8"/>
      <c r="K207" s="8"/>
      <c r="L207" s="8"/>
    </row>
    <row r="208" spans="1:12" ht="15" x14ac:dyDescent="0.25">
      <c r="A208" s="106"/>
      <c r="B208" s="106"/>
      <c r="C208" s="106"/>
      <c r="D208" s="106"/>
      <c r="E208" s="106"/>
      <c r="F208" s="183"/>
      <c r="G208" s="8"/>
      <c r="H208" s="8"/>
      <c r="I208" s="8"/>
      <c r="J208" s="8"/>
      <c r="K208" s="8"/>
      <c r="L208" s="8"/>
    </row>
    <row r="209" spans="1:12" ht="15" x14ac:dyDescent="0.25">
      <c r="A209" s="106"/>
      <c r="B209" s="106"/>
      <c r="C209" s="106"/>
      <c r="D209" s="106"/>
      <c r="E209" s="106"/>
      <c r="F209" s="183"/>
      <c r="G209" s="8"/>
      <c r="H209" s="8"/>
      <c r="I209" s="8"/>
      <c r="J209" s="8"/>
      <c r="K209" s="8"/>
      <c r="L209" s="8"/>
    </row>
    <row r="210" spans="1:12" ht="15" x14ac:dyDescent="0.25">
      <c r="A210" s="106"/>
      <c r="B210" s="106"/>
      <c r="C210" s="106"/>
      <c r="D210" s="106"/>
      <c r="E210" s="106"/>
      <c r="F210" s="183"/>
      <c r="G210" s="8"/>
      <c r="H210" s="8"/>
      <c r="I210" s="8"/>
      <c r="J210" s="8"/>
      <c r="K210" s="8"/>
      <c r="L210" s="8"/>
    </row>
    <row r="211" spans="1:12" ht="17.399999999999999" x14ac:dyDescent="0.3">
      <c r="A211" s="186"/>
      <c r="B211" s="106"/>
      <c r="C211" s="106"/>
      <c r="D211" s="106"/>
      <c r="E211" s="106"/>
      <c r="F211" s="183"/>
      <c r="G211" s="8"/>
      <c r="H211" s="8"/>
      <c r="I211" s="8"/>
      <c r="J211" s="8"/>
      <c r="K211" s="8"/>
      <c r="L211" s="8"/>
    </row>
    <row r="212" spans="1:12" ht="15" x14ac:dyDescent="0.25">
      <c r="A212" s="106"/>
      <c r="B212" s="106"/>
      <c r="C212" s="106"/>
      <c r="D212" s="106"/>
      <c r="E212" s="106"/>
      <c r="F212" s="183"/>
      <c r="G212" s="8"/>
      <c r="H212" s="8"/>
      <c r="I212" s="8"/>
      <c r="J212" s="8"/>
      <c r="K212" s="8"/>
      <c r="L212" s="8"/>
    </row>
    <row r="213" spans="1:12" ht="15" x14ac:dyDescent="0.25">
      <c r="A213" s="106"/>
      <c r="B213" s="106"/>
      <c r="C213" s="106"/>
      <c r="D213" s="106"/>
      <c r="E213" s="106"/>
      <c r="F213" s="183"/>
      <c r="G213" s="8"/>
      <c r="H213" s="8"/>
      <c r="I213" s="8"/>
      <c r="J213" s="8"/>
      <c r="K213" s="8"/>
      <c r="L213" s="8"/>
    </row>
    <row r="214" spans="1:12" ht="17.399999999999999" x14ac:dyDescent="0.3">
      <c r="A214" s="186"/>
      <c r="B214" s="106"/>
      <c r="C214" s="106"/>
      <c r="D214" s="106"/>
      <c r="E214" s="106"/>
      <c r="F214" s="183"/>
      <c r="G214" s="8"/>
      <c r="H214" s="8"/>
      <c r="I214" s="8"/>
      <c r="J214" s="8"/>
      <c r="K214" s="8"/>
      <c r="L214" s="8"/>
    </row>
    <row r="215" spans="1:12" ht="15" x14ac:dyDescent="0.25">
      <c r="A215" s="106"/>
      <c r="B215" s="106"/>
      <c r="C215" s="106"/>
      <c r="D215" s="106"/>
      <c r="E215" s="106"/>
      <c r="F215" s="183"/>
      <c r="G215" s="8"/>
      <c r="H215" s="8"/>
      <c r="I215" s="8"/>
      <c r="J215" s="8"/>
      <c r="K215" s="8"/>
      <c r="L215" s="8"/>
    </row>
    <row r="216" spans="1:12" ht="15" x14ac:dyDescent="0.25">
      <c r="A216" s="106"/>
      <c r="B216" s="182"/>
      <c r="C216" s="106"/>
      <c r="D216" s="106"/>
      <c r="E216" s="106"/>
      <c r="F216" s="183"/>
      <c r="G216" s="8"/>
      <c r="H216" s="8"/>
      <c r="I216" s="8"/>
      <c r="J216" s="8"/>
      <c r="K216" s="8"/>
      <c r="L216" s="8"/>
    </row>
    <row r="217" spans="1:12" ht="15" x14ac:dyDescent="0.25">
      <c r="A217" s="106"/>
      <c r="B217" s="106"/>
      <c r="C217" s="106"/>
      <c r="D217" s="106"/>
      <c r="E217" s="106"/>
      <c r="F217" s="183"/>
      <c r="G217" s="8"/>
      <c r="H217" s="8"/>
      <c r="I217" s="8"/>
      <c r="J217" s="8"/>
      <c r="K217" s="8"/>
      <c r="L217" s="8"/>
    </row>
    <row r="218" spans="1:12" ht="15" x14ac:dyDescent="0.25">
      <c r="A218" s="106"/>
      <c r="B218" s="106"/>
      <c r="C218" s="106"/>
      <c r="D218" s="106"/>
      <c r="E218" s="106"/>
      <c r="F218" s="183"/>
      <c r="G218" s="8"/>
      <c r="H218" s="8"/>
      <c r="I218" s="8"/>
      <c r="J218" s="8"/>
      <c r="K218" s="8"/>
      <c r="L218" s="8"/>
    </row>
    <row r="219" spans="1:12" ht="17.399999999999999" x14ac:dyDescent="0.3">
      <c r="A219" s="186"/>
      <c r="B219" s="182"/>
      <c r="C219" s="106"/>
      <c r="D219" s="106"/>
      <c r="E219" s="106"/>
      <c r="F219" s="183"/>
      <c r="G219" s="8"/>
      <c r="H219" s="8"/>
      <c r="I219" s="8"/>
      <c r="J219" s="8"/>
      <c r="K219" s="8"/>
      <c r="L219" s="8"/>
    </row>
    <row r="220" spans="1:12" ht="15" x14ac:dyDescent="0.25">
      <c r="A220" s="106"/>
      <c r="B220" s="182"/>
      <c r="C220" s="106"/>
      <c r="D220" s="106"/>
      <c r="E220" s="106"/>
      <c r="F220" s="183"/>
      <c r="G220" s="8"/>
      <c r="H220" s="8"/>
      <c r="I220" s="8"/>
      <c r="J220" s="8"/>
      <c r="K220" s="8"/>
      <c r="L220" s="8"/>
    </row>
    <row r="221" spans="1:12" ht="15" x14ac:dyDescent="0.25">
      <c r="A221" s="106"/>
      <c r="B221" s="182"/>
      <c r="C221" s="106"/>
      <c r="D221" s="106"/>
      <c r="E221" s="106"/>
      <c r="F221" s="183"/>
      <c r="G221" s="8"/>
      <c r="H221" s="8"/>
      <c r="I221" s="8"/>
      <c r="J221" s="8"/>
      <c r="K221" s="8"/>
      <c r="L221" s="8"/>
    </row>
    <row r="222" spans="1:12" ht="17.399999999999999" x14ac:dyDescent="0.3">
      <c r="A222" s="201"/>
      <c r="B222" s="202"/>
      <c r="C222" s="203"/>
      <c r="D222" s="203"/>
      <c r="E222" s="203"/>
      <c r="F222" s="204"/>
    </row>
    <row r="223" spans="1:12" ht="15" x14ac:dyDescent="0.25">
      <c r="A223" s="106"/>
      <c r="B223" s="182"/>
      <c r="C223" s="106"/>
      <c r="D223" s="106"/>
      <c r="E223" s="106"/>
      <c r="F223" s="183"/>
    </row>
    <row r="224" spans="1:12" ht="15" x14ac:dyDescent="0.25">
      <c r="A224" s="106"/>
      <c r="B224" s="182"/>
      <c r="C224" s="106"/>
      <c r="D224" s="106"/>
      <c r="E224" s="106"/>
      <c r="F224" s="183"/>
    </row>
    <row r="225" spans="1:6" ht="15" x14ac:dyDescent="0.25">
      <c r="A225" s="106"/>
      <c r="B225" s="107"/>
      <c r="C225" s="107"/>
      <c r="D225" s="191"/>
      <c r="E225" s="91"/>
      <c r="F225" s="183"/>
    </row>
    <row r="226" spans="1:6" x14ac:dyDescent="0.25">
      <c r="A226" s="91"/>
      <c r="B226" s="91"/>
      <c r="C226" s="91"/>
      <c r="D226" s="91"/>
      <c r="E226" s="91"/>
      <c r="F226" s="91"/>
    </row>
    <row r="227" spans="1:6" x14ac:dyDescent="0.25">
      <c r="A227" s="91"/>
      <c r="B227" s="91"/>
      <c r="C227" s="91"/>
      <c r="D227" s="91"/>
      <c r="E227" s="91"/>
      <c r="F227" s="91"/>
    </row>
    <row r="228" spans="1:6" x14ac:dyDescent="0.25">
      <c r="A228" s="91"/>
      <c r="B228" s="91"/>
      <c r="C228" s="91"/>
      <c r="D228" s="91"/>
      <c r="E228" s="91"/>
      <c r="F228" s="91"/>
    </row>
    <row r="229" spans="1:6" x14ac:dyDescent="0.25">
      <c r="A229" s="91"/>
      <c r="B229" s="91"/>
      <c r="C229" s="91"/>
      <c r="D229" s="91"/>
      <c r="E229" s="91"/>
      <c r="F229" s="91"/>
    </row>
  </sheetData>
  <phoneticPr fontId="2" type="noConversion"/>
  <pageMargins left="0.75" right="0.75" top="1" bottom="1" header="0" footer="0"/>
  <pageSetup paperSize="9" orientation="portrait" horizont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7084-4EEA-4694-929A-D50BE3D6EC78}">
  <dimension ref="A3:BF582"/>
  <sheetViews>
    <sheetView topLeftCell="A82" workbookViewId="0">
      <selection activeCell="D104" sqref="D104"/>
    </sheetView>
  </sheetViews>
  <sheetFormatPr baseColWidth="10" defaultRowHeight="13.2" x14ac:dyDescent="0.25"/>
  <cols>
    <col min="1" max="1" width="38.5546875" customWidth="1"/>
    <col min="2" max="2" width="12.21875" customWidth="1"/>
    <col min="3" max="3" width="10.33203125" customWidth="1"/>
    <col min="4" max="4" width="10" customWidth="1"/>
    <col min="5" max="5" width="30.5546875" customWidth="1"/>
    <col min="6" max="6" width="7.5546875" customWidth="1"/>
    <col min="7" max="7" width="21.44140625" customWidth="1"/>
    <col min="8" max="8" width="24.6640625" customWidth="1"/>
    <col min="9" max="9" width="3.44140625" customWidth="1"/>
    <col min="10" max="10" width="3.33203125" customWidth="1"/>
    <col min="11" max="11" width="2.77734375" customWidth="1"/>
    <col min="12" max="12" width="3.21875" customWidth="1"/>
    <col min="13" max="13" width="2.5546875" customWidth="1"/>
    <col min="14" max="14" width="3.77734375" customWidth="1"/>
    <col min="15" max="15" width="4" customWidth="1"/>
    <col min="16" max="16" width="3.77734375" customWidth="1"/>
    <col min="17" max="17" width="3.5546875" customWidth="1"/>
    <col min="18" max="18" width="3.6640625" customWidth="1"/>
    <col min="19" max="19" width="4.33203125" customWidth="1"/>
    <col min="20" max="20" width="3.6640625" customWidth="1"/>
    <col min="21" max="21" width="4" customWidth="1"/>
    <col min="22" max="22" width="4.21875" customWidth="1"/>
    <col min="23" max="23" width="4.109375" customWidth="1"/>
    <col min="24" max="24" width="4" customWidth="1"/>
    <col min="25" max="25" width="4.21875" customWidth="1"/>
    <col min="26" max="26" width="4.44140625" customWidth="1"/>
    <col min="27" max="27" width="4.21875" customWidth="1"/>
    <col min="28" max="28" width="4.109375" customWidth="1"/>
    <col min="29" max="29" width="4.21875" customWidth="1"/>
    <col min="30" max="30" width="4.109375" customWidth="1"/>
    <col min="31" max="31" width="4.33203125" customWidth="1"/>
    <col min="32" max="32" width="3.6640625" customWidth="1"/>
    <col min="33" max="33" width="4" customWidth="1"/>
    <col min="34" max="34" width="4.44140625" customWidth="1"/>
    <col min="35" max="35" width="4.109375" customWidth="1"/>
    <col min="36" max="36" width="4.44140625" customWidth="1"/>
    <col min="37" max="37" width="4.109375" customWidth="1"/>
    <col min="38" max="38" width="4.33203125" customWidth="1"/>
    <col min="39" max="39" width="3.88671875" customWidth="1"/>
    <col min="40" max="40" width="4" customWidth="1"/>
    <col min="41" max="41" width="4.5546875" customWidth="1"/>
    <col min="42" max="42" width="4.21875" customWidth="1"/>
    <col min="43" max="43" width="4.33203125" customWidth="1"/>
    <col min="44" max="44" width="4.5546875" customWidth="1"/>
    <col min="45" max="45" width="4.21875" customWidth="1"/>
    <col min="46" max="46" width="4.33203125" customWidth="1"/>
    <col min="47" max="47" width="4" customWidth="1"/>
    <col min="48" max="48" width="3.5546875" customWidth="1"/>
    <col min="49" max="50" width="3.88671875" customWidth="1"/>
    <col min="51" max="52" width="4.6640625" customWidth="1"/>
    <col min="53" max="53" width="3.5546875" customWidth="1"/>
    <col min="54" max="54" width="11.33203125" customWidth="1"/>
    <col min="55" max="55" width="7.6640625" customWidth="1"/>
    <col min="56" max="56" width="20.77734375" customWidth="1"/>
    <col min="57" max="57" width="8.77734375" customWidth="1"/>
    <col min="58" max="58" width="21.6640625" customWidth="1"/>
  </cols>
  <sheetData>
    <row r="3" spans="1:58" ht="17.399999999999999" x14ac:dyDescent="0.3">
      <c r="A3" s="78" t="s">
        <v>715</v>
      </c>
      <c r="B3" s="79"/>
      <c r="C3" s="134"/>
      <c r="D3" s="134"/>
      <c r="E3" s="80" t="s">
        <v>830</v>
      </c>
      <c r="F3" s="174" t="s">
        <v>831</v>
      </c>
      <c r="G3" s="80" t="s">
        <v>836</v>
      </c>
      <c r="H3" s="80" t="s">
        <v>916</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8"/>
      <c r="BD3" s="76"/>
      <c r="BE3" s="76"/>
      <c r="BF3" s="135"/>
    </row>
    <row r="4" spans="1:58" ht="17.399999999999999" x14ac:dyDescent="0.3">
      <c r="A4" s="69" t="s">
        <v>781</v>
      </c>
      <c r="B4" s="69" t="s">
        <v>716</v>
      </c>
      <c r="C4" s="76" t="s">
        <v>717</v>
      </c>
      <c r="D4" s="76" t="s">
        <v>718</v>
      </c>
      <c r="E4" s="75"/>
      <c r="F4" s="177"/>
      <c r="G4" s="75"/>
      <c r="H4" s="75"/>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c r="BB4" s="106"/>
      <c r="BC4" s="139"/>
      <c r="BD4" s="8"/>
      <c r="BF4" s="8"/>
    </row>
    <row r="5" spans="1:58" ht="15" x14ac:dyDescent="0.25">
      <c r="A5" s="143" t="s">
        <v>534</v>
      </c>
      <c r="B5" s="15">
        <v>2</v>
      </c>
      <c r="C5" s="8">
        <v>4</v>
      </c>
      <c r="D5" s="8">
        <v>2</v>
      </c>
      <c r="E5" s="107" t="s">
        <v>309</v>
      </c>
      <c r="F5" s="175" t="s">
        <v>832</v>
      </c>
      <c r="G5" s="107" t="s">
        <v>837</v>
      </c>
      <c r="H5" s="208" t="s">
        <v>919</v>
      </c>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39"/>
      <c r="BD5" s="8"/>
      <c r="BF5" s="8"/>
    </row>
    <row r="6" spans="1:58" ht="15" x14ac:dyDescent="0.25">
      <c r="A6" s="143" t="s">
        <v>510</v>
      </c>
      <c r="B6" s="15">
        <v>4</v>
      </c>
      <c r="C6" s="8">
        <v>3</v>
      </c>
      <c r="D6" s="8">
        <v>1</v>
      </c>
      <c r="E6" s="107" t="s">
        <v>720</v>
      </c>
      <c r="F6" s="175" t="s">
        <v>834</v>
      </c>
      <c r="G6" s="107" t="s">
        <v>838</v>
      </c>
      <c r="H6" s="208" t="s">
        <v>923</v>
      </c>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7"/>
      <c r="AZ6" s="107"/>
      <c r="BA6" s="107"/>
      <c r="BB6" s="107"/>
      <c r="BC6" s="139"/>
      <c r="BD6" s="8"/>
      <c r="BE6" s="8"/>
      <c r="BF6" s="8"/>
    </row>
    <row r="7" spans="1:58" ht="15" x14ac:dyDescent="0.25">
      <c r="A7" s="143" t="s">
        <v>573</v>
      </c>
      <c r="B7" s="15">
        <v>1</v>
      </c>
      <c r="C7" s="8"/>
      <c r="D7" s="8"/>
      <c r="E7" s="107" t="s">
        <v>833</v>
      </c>
      <c r="F7" s="175" t="s">
        <v>835</v>
      </c>
      <c r="G7" s="107" t="s">
        <v>837</v>
      </c>
      <c r="H7" s="208" t="s">
        <v>924</v>
      </c>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39"/>
      <c r="BD7" s="8"/>
      <c r="BE7" s="8"/>
      <c r="BF7" s="8"/>
    </row>
    <row r="8" spans="1:58" ht="15" x14ac:dyDescent="0.25">
      <c r="A8" s="143" t="s">
        <v>449</v>
      </c>
      <c r="B8" s="15">
        <v>5</v>
      </c>
      <c r="C8" s="8">
        <v>3</v>
      </c>
      <c r="D8" s="8">
        <v>2</v>
      </c>
      <c r="E8" s="107" t="s">
        <v>839</v>
      </c>
      <c r="F8" s="175" t="s">
        <v>840</v>
      </c>
      <c r="G8" s="107" t="s">
        <v>838</v>
      </c>
      <c r="H8" s="208" t="s">
        <v>925</v>
      </c>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39"/>
      <c r="BD8" s="8"/>
      <c r="BE8" s="8"/>
      <c r="BF8" s="8"/>
    </row>
    <row r="9" spans="1:58" ht="15" x14ac:dyDescent="0.25">
      <c r="A9" s="143" t="s">
        <v>450</v>
      </c>
      <c r="B9" s="15">
        <v>8</v>
      </c>
      <c r="C9" s="8">
        <v>9</v>
      </c>
      <c r="D9" s="8">
        <v>2</v>
      </c>
      <c r="E9" s="107" t="s">
        <v>721</v>
      </c>
      <c r="F9" s="175" t="s">
        <v>841</v>
      </c>
      <c r="G9" s="107" t="s">
        <v>838</v>
      </c>
      <c r="H9" s="208" t="s">
        <v>926</v>
      </c>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39"/>
      <c r="BD9" s="8"/>
      <c r="BE9" s="8"/>
      <c r="BF9" s="8"/>
    </row>
    <row r="10" spans="1:58" ht="15" x14ac:dyDescent="0.25">
      <c r="A10" s="143" t="s">
        <v>451</v>
      </c>
      <c r="B10" s="15">
        <v>6</v>
      </c>
      <c r="C10" s="8">
        <v>8</v>
      </c>
      <c r="D10" s="8">
        <v>1</v>
      </c>
      <c r="E10" s="107" t="s">
        <v>722</v>
      </c>
      <c r="F10" s="175" t="s">
        <v>842</v>
      </c>
      <c r="G10" s="107" t="s">
        <v>850</v>
      </c>
      <c r="H10" s="208" t="s">
        <v>927</v>
      </c>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39"/>
      <c r="BD10" s="8"/>
      <c r="BE10" s="8"/>
      <c r="BF10" s="8"/>
    </row>
    <row r="11" spans="1:58" ht="15" x14ac:dyDescent="0.25">
      <c r="A11" s="143" t="s">
        <v>453</v>
      </c>
      <c r="B11" s="15">
        <v>8</v>
      </c>
      <c r="C11" s="8">
        <v>6</v>
      </c>
      <c r="D11" s="8">
        <v>2</v>
      </c>
      <c r="E11" s="107" t="s">
        <v>723</v>
      </c>
      <c r="F11" s="175" t="s">
        <v>851</v>
      </c>
      <c r="G11" s="107" t="s">
        <v>850</v>
      </c>
      <c r="H11" s="208" t="s">
        <v>928</v>
      </c>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39"/>
      <c r="BD11" s="8"/>
      <c r="BE11" s="8"/>
      <c r="BF11" s="8"/>
    </row>
    <row r="12" spans="1:58" ht="15" x14ac:dyDescent="0.25">
      <c r="A12" s="143" t="s">
        <v>417</v>
      </c>
      <c r="B12" s="15"/>
      <c r="C12" s="8"/>
      <c r="D12" s="8">
        <v>1</v>
      </c>
      <c r="E12" s="107" t="s">
        <v>724</v>
      </c>
      <c r="F12" s="175" t="s">
        <v>847</v>
      </c>
      <c r="G12" s="107" t="s">
        <v>850</v>
      </c>
      <c r="H12" s="208" t="s">
        <v>972</v>
      </c>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39"/>
      <c r="BD12" s="8"/>
      <c r="BE12" s="8"/>
      <c r="BF12" s="8"/>
    </row>
    <row r="13" spans="1:58" ht="15" x14ac:dyDescent="0.25">
      <c r="A13" s="143" t="s">
        <v>413</v>
      </c>
      <c r="B13" s="15">
        <v>1</v>
      </c>
      <c r="C13" s="8">
        <v>3</v>
      </c>
      <c r="D13" s="8"/>
      <c r="E13" s="107" t="s">
        <v>725</v>
      </c>
      <c r="F13" s="175" t="s">
        <v>843</v>
      </c>
      <c r="G13" s="107" t="s">
        <v>850</v>
      </c>
      <c r="H13" s="208" t="s">
        <v>961</v>
      </c>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39"/>
      <c r="BD13" s="8"/>
      <c r="BE13" s="8"/>
      <c r="BF13" s="8"/>
    </row>
    <row r="14" spans="1:58" ht="15" x14ac:dyDescent="0.25">
      <c r="A14" s="143" t="s">
        <v>419</v>
      </c>
      <c r="B14" s="15">
        <v>1</v>
      </c>
      <c r="C14" s="8">
        <v>1</v>
      </c>
      <c r="D14" s="8">
        <v>1</v>
      </c>
      <c r="E14" s="107" t="s">
        <v>726</v>
      </c>
      <c r="F14" s="175" t="s">
        <v>852</v>
      </c>
      <c r="G14" s="107" t="s">
        <v>850</v>
      </c>
      <c r="H14" s="208" t="s">
        <v>973</v>
      </c>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39"/>
      <c r="BD14" s="8"/>
      <c r="BE14" s="8"/>
      <c r="BF14" s="8"/>
    </row>
    <row r="15" spans="1:58" ht="15" x14ac:dyDescent="0.25">
      <c r="A15" s="143" t="s">
        <v>484</v>
      </c>
      <c r="B15" s="15">
        <v>120</v>
      </c>
      <c r="C15" s="8">
        <v>200</v>
      </c>
      <c r="D15" s="8"/>
      <c r="E15" s="107" t="s">
        <v>727</v>
      </c>
      <c r="F15" s="175" t="s">
        <v>845</v>
      </c>
      <c r="G15" s="107" t="s">
        <v>858</v>
      </c>
      <c r="H15" s="208" t="s">
        <v>940</v>
      </c>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39"/>
      <c r="BD15" s="8"/>
      <c r="BE15" s="8"/>
      <c r="BF15" s="8"/>
    </row>
    <row r="16" spans="1:58" ht="15" x14ac:dyDescent="0.25">
      <c r="A16" s="143" t="s">
        <v>486</v>
      </c>
      <c r="B16" s="15">
        <v>60</v>
      </c>
      <c r="C16" s="8">
        <v>110</v>
      </c>
      <c r="D16" s="8"/>
      <c r="E16" s="106" t="s">
        <v>728</v>
      </c>
      <c r="F16" s="176" t="s">
        <v>849</v>
      </c>
      <c r="G16" s="106" t="s">
        <v>863</v>
      </c>
      <c r="H16" s="208" t="s">
        <v>984</v>
      </c>
      <c r="I16" s="106"/>
      <c r="J16" s="106"/>
      <c r="K16" s="106"/>
      <c r="L16" s="106"/>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c r="AQ16" s="106"/>
      <c r="AR16" s="106"/>
      <c r="AS16" s="106"/>
      <c r="AT16" s="106"/>
      <c r="AU16" s="106"/>
      <c r="AV16" s="106"/>
      <c r="AW16" s="106"/>
      <c r="AX16" s="106"/>
      <c r="AY16" s="106"/>
      <c r="AZ16" s="106"/>
      <c r="BA16" s="106"/>
      <c r="BB16" s="106"/>
      <c r="BC16" s="139"/>
      <c r="BD16" s="8"/>
      <c r="BE16" s="8"/>
      <c r="BF16" s="8"/>
    </row>
    <row r="17" spans="1:58" ht="15" x14ac:dyDescent="0.25">
      <c r="A17" s="143" t="s">
        <v>595</v>
      </c>
      <c r="B17" s="15">
        <v>1</v>
      </c>
      <c r="C17" s="8"/>
      <c r="D17" s="8"/>
      <c r="E17" s="107" t="s">
        <v>729</v>
      </c>
      <c r="F17" s="175" t="s">
        <v>860</v>
      </c>
      <c r="G17" s="107" t="s">
        <v>866</v>
      </c>
      <c r="H17" s="208" t="s">
        <v>933</v>
      </c>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39"/>
      <c r="BD17" s="8"/>
      <c r="BE17" s="8"/>
      <c r="BF17" s="8"/>
    </row>
    <row r="18" spans="1:58" ht="15" x14ac:dyDescent="0.25">
      <c r="A18" s="143" t="s">
        <v>403</v>
      </c>
      <c r="B18" s="15">
        <v>2</v>
      </c>
      <c r="C18" s="8">
        <v>1</v>
      </c>
      <c r="D18" s="8"/>
      <c r="E18" s="107" t="s">
        <v>730</v>
      </c>
      <c r="F18" s="175" t="s">
        <v>848</v>
      </c>
      <c r="G18" s="107" t="s">
        <v>866</v>
      </c>
      <c r="H18" s="208" t="s">
        <v>932</v>
      </c>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39"/>
      <c r="BD18" s="8"/>
      <c r="BE18" s="8"/>
      <c r="BF18" s="8"/>
    </row>
    <row r="19" spans="1:58" ht="15" x14ac:dyDescent="0.25">
      <c r="A19" s="143" t="s">
        <v>509</v>
      </c>
      <c r="B19" s="15">
        <v>4</v>
      </c>
      <c r="C19" s="8">
        <v>4</v>
      </c>
      <c r="D19" s="8">
        <v>1</v>
      </c>
      <c r="E19" s="107" t="s">
        <v>310</v>
      </c>
      <c r="F19" s="175" t="s">
        <v>868</v>
      </c>
      <c r="G19" s="107" t="s">
        <v>866</v>
      </c>
      <c r="H19" s="208" t="s">
        <v>968</v>
      </c>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39"/>
      <c r="BE19" s="8"/>
      <c r="BF19" s="8"/>
    </row>
    <row r="20" spans="1:58" ht="15" x14ac:dyDescent="0.25">
      <c r="A20" s="143" t="s">
        <v>511</v>
      </c>
      <c r="B20" s="15">
        <v>2</v>
      </c>
      <c r="C20" s="8">
        <v>3</v>
      </c>
      <c r="D20" s="8"/>
      <c r="E20" s="107" t="s">
        <v>312</v>
      </c>
      <c r="F20" s="175" t="s">
        <v>869</v>
      </c>
      <c r="G20" s="107" t="s">
        <v>866</v>
      </c>
      <c r="H20" s="208" t="s">
        <v>970</v>
      </c>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39"/>
      <c r="BE20" s="8"/>
      <c r="BF20" s="8"/>
    </row>
    <row r="21" spans="1:58" ht="15" x14ac:dyDescent="0.25">
      <c r="A21" s="143" t="s">
        <v>512</v>
      </c>
      <c r="B21" s="15"/>
      <c r="C21" s="8">
        <v>1</v>
      </c>
      <c r="D21" s="8"/>
      <c r="E21" s="107" t="s">
        <v>311</v>
      </c>
      <c r="F21" s="175" t="s">
        <v>846</v>
      </c>
      <c r="G21" s="107" t="s">
        <v>866</v>
      </c>
      <c r="H21" s="208" t="s">
        <v>934</v>
      </c>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39"/>
      <c r="BD21" s="8"/>
      <c r="BE21" s="8"/>
      <c r="BF21" s="8"/>
    </row>
    <row r="22" spans="1:58" ht="15" x14ac:dyDescent="0.25">
      <c r="A22" s="143" t="s">
        <v>508</v>
      </c>
      <c r="B22" s="15"/>
      <c r="C22" s="8">
        <v>1</v>
      </c>
      <c r="D22" s="8"/>
      <c r="E22" s="107" t="s">
        <v>313</v>
      </c>
      <c r="F22" s="175" t="s">
        <v>861</v>
      </c>
      <c r="G22" s="107" t="s">
        <v>866</v>
      </c>
      <c r="H22" s="208" t="s">
        <v>971</v>
      </c>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39"/>
      <c r="BE22" s="8"/>
      <c r="BF22" s="8"/>
    </row>
    <row r="23" spans="1:58" ht="17.399999999999999" x14ac:dyDescent="0.3">
      <c r="A23" s="144" t="s">
        <v>782</v>
      </c>
      <c r="B23" s="74"/>
      <c r="C23" s="8"/>
      <c r="D23" s="8"/>
      <c r="E23" s="107" t="s">
        <v>315</v>
      </c>
      <c r="F23" s="175" t="s">
        <v>844</v>
      </c>
      <c r="G23" s="107" t="s">
        <v>866</v>
      </c>
      <c r="H23" s="208" t="s">
        <v>931</v>
      </c>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39"/>
      <c r="BD23" s="8"/>
      <c r="BE23" s="8"/>
      <c r="BF23" s="8"/>
    </row>
    <row r="24" spans="1:58" ht="15" x14ac:dyDescent="0.25">
      <c r="A24" s="143" t="s">
        <v>576</v>
      </c>
      <c r="B24" s="15">
        <v>50</v>
      </c>
      <c r="C24" s="8">
        <v>100</v>
      </c>
      <c r="D24" s="8"/>
      <c r="E24" s="107" t="s">
        <v>314</v>
      </c>
      <c r="F24" s="175" t="s">
        <v>853</v>
      </c>
      <c r="G24" s="107" t="s">
        <v>866</v>
      </c>
      <c r="H24" s="208" t="s">
        <v>985</v>
      </c>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39"/>
      <c r="BD24" s="8"/>
      <c r="BE24" s="8"/>
      <c r="BF24" s="8"/>
    </row>
    <row r="25" spans="1:58" ht="15" x14ac:dyDescent="0.25">
      <c r="A25" s="143" t="s">
        <v>449</v>
      </c>
      <c r="B25" s="15">
        <v>15</v>
      </c>
      <c r="C25" s="8">
        <v>17</v>
      </c>
      <c r="D25" s="8">
        <v>2</v>
      </c>
      <c r="E25" s="107" t="s">
        <v>316</v>
      </c>
      <c r="F25" s="175" t="s">
        <v>870</v>
      </c>
      <c r="G25" s="107" t="s">
        <v>866</v>
      </c>
      <c r="H25" s="208"/>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39"/>
      <c r="BD25" s="8"/>
      <c r="BE25" s="8"/>
      <c r="BF25" s="8"/>
    </row>
    <row r="26" spans="1:58" ht="15" x14ac:dyDescent="0.25">
      <c r="A26" s="143" t="s">
        <v>450</v>
      </c>
      <c r="B26" s="15">
        <v>6</v>
      </c>
      <c r="C26" s="8">
        <v>11</v>
      </c>
      <c r="D26" s="8">
        <v>3</v>
      </c>
      <c r="E26" s="107" t="s">
        <v>731</v>
      </c>
      <c r="F26" s="175" t="s">
        <v>856</v>
      </c>
      <c r="G26" s="107" t="s">
        <v>866</v>
      </c>
      <c r="H26" s="208" t="s">
        <v>930</v>
      </c>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39"/>
      <c r="BD26" s="8"/>
      <c r="BE26" s="8"/>
      <c r="BF26" s="8"/>
    </row>
    <row r="27" spans="1:58" ht="15" x14ac:dyDescent="0.25">
      <c r="A27" s="143" t="s">
        <v>455</v>
      </c>
      <c r="B27" s="15">
        <v>5</v>
      </c>
      <c r="C27" s="8">
        <v>8</v>
      </c>
      <c r="D27" s="8">
        <v>2</v>
      </c>
      <c r="E27" s="106" t="s">
        <v>732</v>
      </c>
      <c r="F27" s="175" t="s">
        <v>864</v>
      </c>
      <c r="G27" s="107" t="s">
        <v>866</v>
      </c>
      <c r="H27" s="208" t="s">
        <v>960</v>
      </c>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39"/>
      <c r="BD27" s="8"/>
      <c r="BE27" s="8"/>
      <c r="BF27" s="8"/>
    </row>
    <row r="28" spans="1:58" ht="15" x14ac:dyDescent="0.25">
      <c r="A28" s="143" t="s">
        <v>447</v>
      </c>
      <c r="B28" s="15">
        <v>5</v>
      </c>
      <c r="C28" s="8">
        <v>4</v>
      </c>
      <c r="D28" s="8"/>
      <c r="E28" s="107" t="s">
        <v>733</v>
      </c>
      <c r="F28" s="175" t="s">
        <v>871</v>
      </c>
      <c r="G28" s="107" t="s">
        <v>866</v>
      </c>
      <c r="H28" s="208" t="s">
        <v>966</v>
      </c>
      <c r="I28" s="10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39"/>
      <c r="BD28" s="8"/>
      <c r="BE28" s="8"/>
      <c r="BF28" s="8"/>
    </row>
    <row r="29" spans="1:58" ht="15" x14ac:dyDescent="0.25">
      <c r="A29" s="143" t="s">
        <v>405</v>
      </c>
      <c r="B29" s="15">
        <v>4</v>
      </c>
      <c r="C29" s="8">
        <v>7</v>
      </c>
      <c r="D29" s="8">
        <v>2</v>
      </c>
      <c r="E29" s="107" t="s">
        <v>734</v>
      </c>
      <c r="F29" s="175" t="s">
        <v>872</v>
      </c>
      <c r="G29" s="107" t="s">
        <v>866</v>
      </c>
      <c r="H29" s="208" t="s">
        <v>929</v>
      </c>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39"/>
      <c r="BD29" s="8"/>
      <c r="BE29" s="8"/>
      <c r="BF29" s="8"/>
    </row>
    <row r="30" spans="1:58" ht="15" x14ac:dyDescent="0.25">
      <c r="A30" s="143" t="s">
        <v>397</v>
      </c>
      <c r="B30" s="15">
        <v>1</v>
      </c>
      <c r="C30" s="8"/>
      <c r="D30" s="8"/>
      <c r="E30" s="107" t="s">
        <v>735</v>
      </c>
      <c r="F30" s="175" t="s">
        <v>873</v>
      </c>
      <c r="G30" s="107" t="s">
        <v>866</v>
      </c>
      <c r="H30" s="208" t="s">
        <v>936</v>
      </c>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39"/>
      <c r="BD30" s="8"/>
      <c r="BE30" s="8"/>
      <c r="BF30" s="8"/>
    </row>
    <row r="31" spans="1:58" ht="15" x14ac:dyDescent="0.25">
      <c r="A31" s="143" t="s">
        <v>752</v>
      </c>
      <c r="B31" s="15">
        <v>4</v>
      </c>
      <c r="C31" s="8">
        <v>5</v>
      </c>
      <c r="D31" s="8">
        <v>1</v>
      </c>
      <c r="E31" s="107" t="s">
        <v>736</v>
      </c>
      <c r="F31" s="175" t="s">
        <v>874</v>
      </c>
      <c r="G31" s="107" t="s">
        <v>866</v>
      </c>
      <c r="H31" s="208"/>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39"/>
      <c r="BD31" s="8"/>
      <c r="BE31" s="8"/>
      <c r="BF31" s="8"/>
    </row>
    <row r="32" spans="1:58" ht="15" x14ac:dyDescent="0.25">
      <c r="A32" s="143" t="s">
        <v>426</v>
      </c>
      <c r="B32" s="15">
        <v>1</v>
      </c>
      <c r="C32" s="8">
        <v>2</v>
      </c>
      <c r="D32" s="8"/>
      <c r="E32" s="107" t="s">
        <v>737</v>
      </c>
      <c r="F32" s="175" t="s">
        <v>875</v>
      </c>
      <c r="G32" s="107" t="s">
        <v>866</v>
      </c>
      <c r="H32" s="208" t="s">
        <v>939</v>
      </c>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39"/>
      <c r="BD32" s="8"/>
      <c r="BE32" s="8"/>
      <c r="BF32" s="8"/>
    </row>
    <row r="33" spans="1:58" ht="15" x14ac:dyDescent="0.25">
      <c r="A33" s="143" t="s">
        <v>510</v>
      </c>
      <c r="B33" s="15">
        <v>1</v>
      </c>
      <c r="C33" s="8"/>
      <c r="D33" s="8"/>
      <c r="E33" s="107" t="s">
        <v>891</v>
      </c>
      <c r="F33" s="175" t="s">
        <v>876</v>
      </c>
      <c r="G33" s="107" t="s">
        <v>866</v>
      </c>
      <c r="H33" s="208" t="s">
        <v>969</v>
      </c>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39"/>
      <c r="BD33" s="8"/>
      <c r="BE33" s="8"/>
      <c r="BF33" s="8"/>
    </row>
    <row r="34" spans="1:58" ht="15" x14ac:dyDescent="0.25">
      <c r="A34" s="143" t="s">
        <v>554</v>
      </c>
      <c r="B34" s="15">
        <v>30</v>
      </c>
      <c r="C34" s="8">
        <v>80</v>
      </c>
      <c r="D34" s="8"/>
      <c r="E34" s="107" t="s">
        <v>892</v>
      </c>
      <c r="F34" s="175" t="s">
        <v>877</v>
      </c>
      <c r="G34" s="107" t="s">
        <v>858</v>
      </c>
      <c r="H34" s="208" t="s">
        <v>935</v>
      </c>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39"/>
      <c r="BD34" s="8"/>
      <c r="BE34" s="8"/>
      <c r="BF34" s="8"/>
    </row>
    <row r="35" spans="1:58" ht="15" x14ac:dyDescent="0.25">
      <c r="A35" s="143" t="s">
        <v>397</v>
      </c>
      <c r="B35" s="15"/>
      <c r="C35" s="8"/>
      <c r="D35" s="8">
        <v>1</v>
      </c>
      <c r="E35" s="107" t="s">
        <v>738</v>
      </c>
      <c r="F35" s="175" t="s">
        <v>878</v>
      </c>
      <c r="G35" s="107" t="s">
        <v>838</v>
      </c>
      <c r="H35" s="208" t="s">
        <v>949</v>
      </c>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39"/>
      <c r="BD35" s="8"/>
      <c r="BE35" s="8"/>
      <c r="BF35" s="8"/>
    </row>
    <row r="36" spans="1:58" ht="15" x14ac:dyDescent="0.25">
      <c r="A36" s="143"/>
      <c r="B36" s="15"/>
      <c r="C36" s="8"/>
      <c r="D36" s="8"/>
      <c r="E36" s="106" t="s">
        <v>893</v>
      </c>
      <c r="F36" s="175" t="s">
        <v>879</v>
      </c>
      <c r="G36" s="106" t="s">
        <v>866</v>
      </c>
      <c r="H36" s="208" t="s">
        <v>937</v>
      </c>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39"/>
      <c r="BD36" s="8"/>
      <c r="BE36" s="8"/>
      <c r="BF36" s="8"/>
    </row>
    <row r="37" spans="1:58" ht="15" x14ac:dyDescent="0.25">
      <c r="A37" s="143"/>
      <c r="B37" s="15"/>
      <c r="C37" s="8"/>
      <c r="D37" s="8"/>
      <c r="E37" s="107" t="s">
        <v>317</v>
      </c>
      <c r="F37" s="175" t="s">
        <v>880</v>
      </c>
      <c r="G37" s="107" t="s">
        <v>866</v>
      </c>
      <c r="H37" s="208" t="s">
        <v>938</v>
      </c>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39"/>
      <c r="BD37" s="8"/>
      <c r="BE37" s="8"/>
      <c r="BF37" s="8"/>
    </row>
    <row r="38" spans="1:58" ht="15" x14ac:dyDescent="0.25">
      <c r="A38" s="143"/>
      <c r="B38" s="15"/>
      <c r="C38" s="8"/>
      <c r="D38" s="8"/>
      <c r="E38" s="107" t="s">
        <v>739</v>
      </c>
      <c r="F38" s="175" t="s">
        <v>867</v>
      </c>
      <c r="G38" s="107" t="s">
        <v>866</v>
      </c>
      <c r="H38" s="208" t="s">
        <v>967</v>
      </c>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39"/>
      <c r="BD38" s="8"/>
      <c r="BE38" s="8"/>
      <c r="BF38" s="8"/>
    </row>
    <row r="39" spans="1:58" ht="17.399999999999999" x14ac:dyDescent="0.3">
      <c r="A39" s="145" t="s">
        <v>783</v>
      </c>
      <c r="B39" s="74"/>
      <c r="C39" s="8"/>
      <c r="D39" s="8"/>
      <c r="E39" s="107" t="s">
        <v>390</v>
      </c>
      <c r="F39" s="175" t="s">
        <v>881</v>
      </c>
      <c r="G39" s="107" t="s">
        <v>866</v>
      </c>
      <c r="H39" s="208" t="s">
        <v>983</v>
      </c>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39"/>
      <c r="BD39" s="8"/>
      <c r="BE39" s="8"/>
      <c r="BF39" s="8"/>
    </row>
    <row r="40" spans="1:58" ht="15" x14ac:dyDescent="0.25">
      <c r="A40" s="143" t="s">
        <v>447</v>
      </c>
      <c r="B40" s="15">
        <v>2</v>
      </c>
      <c r="C40" s="8"/>
      <c r="D40" s="8"/>
      <c r="E40" s="107" t="s">
        <v>740</v>
      </c>
      <c r="F40" s="175" t="s">
        <v>859</v>
      </c>
      <c r="G40" s="107" t="s">
        <v>866</v>
      </c>
      <c r="H40" s="208" t="s">
        <v>920</v>
      </c>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39"/>
      <c r="BD40" s="8"/>
      <c r="BE40" s="8"/>
      <c r="BF40" s="8"/>
    </row>
    <row r="41" spans="1:58" ht="15" x14ac:dyDescent="0.25">
      <c r="A41" s="143" t="s">
        <v>450</v>
      </c>
      <c r="B41" s="15">
        <v>3</v>
      </c>
      <c r="C41" s="8">
        <v>5</v>
      </c>
      <c r="D41" s="8"/>
      <c r="E41" s="107" t="s">
        <v>741</v>
      </c>
      <c r="F41" s="175" t="s">
        <v>882</v>
      </c>
      <c r="G41" s="107" t="s">
        <v>837</v>
      </c>
      <c r="H41" s="208" t="s">
        <v>955</v>
      </c>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39"/>
      <c r="BD41" s="8"/>
      <c r="BE41" s="8"/>
      <c r="BF41" s="8"/>
    </row>
    <row r="42" spans="1:58" ht="15" x14ac:dyDescent="0.25">
      <c r="A42" s="143" t="s">
        <v>455</v>
      </c>
      <c r="B42" s="15">
        <v>2</v>
      </c>
      <c r="C42" s="8">
        <v>4</v>
      </c>
      <c r="D42" s="8">
        <v>5</v>
      </c>
      <c r="E42" s="107" t="s">
        <v>742</v>
      </c>
      <c r="F42" s="175" t="s">
        <v>883</v>
      </c>
      <c r="G42" s="107" t="s">
        <v>838</v>
      </c>
      <c r="H42" s="208" t="s">
        <v>975</v>
      </c>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39"/>
      <c r="BD42" s="8"/>
      <c r="BE42" s="8"/>
      <c r="BF42" s="8"/>
    </row>
    <row r="43" spans="1:58" ht="15" x14ac:dyDescent="0.25">
      <c r="A43" s="143" t="s">
        <v>509</v>
      </c>
      <c r="B43" s="15">
        <v>1</v>
      </c>
      <c r="C43" s="8">
        <v>2</v>
      </c>
      <c r="D43" s="8"/>
      <c r="E43" s="107" t="s">
        <v>743</v>
      </c>
      <c r="F43" s="175" t="s">
        <v>884</v>
      </c>
      <c r="G43" s="107" t="s">
        <v>850</v>
      </c>
      <c r="H43" s="208" t="s">
        <v>956</v>
      </c>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39"/>
      <c r="BD43" s="8"/>
      <c r="BE43" s="8"/>
      <c r="BF43" s="8"/>
    </row>
    <row r="44" spans="1:58" ht="15" x14ac:dyDescent="0.25">
      <c r="A44" s="143" t="s">
        <v>573</v>
      </c>
      <c r="B44" s="15">
        <v>1</v>
      </c>
      <c r="C44" s="8">
        <v>3</v>
      </c>
      <c r="D44" s="8">
        <v>1</v>
      </c>
      <c r="E44" s="107" t="s">
        <v>894</v>
      </c>
      <c r="F44" s="175" t="s">
        <v>854</v>
      </c>
      <c r="G44" s="107" t="s">
        <v>858</v>
      </c>
      <c r="H44" s="208" t="s">
        <v>953</v>
      </c>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39"/>
      <c r="BD44" s="8"/>
      <c r="BE44" s="8"/>
      <c r="BF44" s="8"/>
    </row>
    <row r="45" spans="1:58" ht="15" x14ac:dyDescent="0.25">
      <c r="A45" s="143" t="s">
        <v>604</v>
      </c>
      <c r="B45" s="15">
        <v>10</v>
      </c>
      <c r="C45" s="8"/>
      <c r="D45" s="8"/>
      <c r="E45" s="107" t="s">
        <v>744</v>
      </c>
      <c r="F45" s="175" t="s">
        <v>885</v>
      </c>
      <c r="G45" s="107" t="s">
        <v>866</v>
      </c>
      <c r="H45" s="208" t="s">
        <v>974</v>
      </c>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39"/>
      <c r="BD45" s="8"/>
      <c r="BE45" s="8"/>
      <c r="BF45" s="8"/>
    </row>
    <row r="46" spans="1:58" ht="15" x14ac:dyDescent="0.25">
      <c r="A46" s="143" t="s">
        <v>511</v>
      </c>
      <c r="B46" s="15">
        <v>2</v>
      </c>
      <c r="C46" s="8">
        <v>3</v>
      </c>
      <c r="D46" s="8">
        <v>1</v>
      </c>
      <c r="E46" s="107" t="s">
        <v>745</v>
      </c>
      <c r="F46" s="175" t="s">
        <v>886</v>
      </c>
      <c r="G46" s="107" t="s">
        <v>866</v>
      </c>
      <c r="H46" s="208" t="s">
        <v>976</v>
      </c>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39"/>
      <c r="BD46" s="8"/>
      <c r="BE46" s="8"/>
      <c r="BF46" s="8"/>
    </row>
    <row r="47" spans="1:58" ht="15" x14ac:dyDescent="0.25">
      <c r="A47" s="143" t="s">
        <v>483</v>
      </c>
      <c r="B47" s="15">
        <v>70</v>
      </c>
      <c r="C47" s="8">
        <v>50</v>
      </c>
      <c r="D47" s="8">
        <v>50</v>
      </c>
      <c r="E47" s="107" t="s">
        <v>746</v>
      </c>
      <c r="F47" s="175" t="s">
        <v>865</v>
      </c>
      <c r="G47" s="107" t="s">
        <v>850</v>
      </c>
      <c r="H47" s="208" t="s">
        <v>954</v>
      </c>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39"/>
      <c r="BD47" s="8"/>
      <c r="BE47" s="8"/>
      <c r="BF47" s="8"/>
    </row>
    <row r="48" spans="1:58" ht="15" x14ac:dyDescent="0.25">
      <c r="A48" s="143" t="s">
        <v>485</v>
      </c>
      <c r="B48" s="15">
        <v>20</v>
      </c>
      <c r="C48" s="8">
        <v>60</v>
      </c>
      <c r="D48" s="8"/>
      <c r="E48" s="107" t="s">
        <v>747</v>
      </c>
      <c r="F48" s="175" t="s">
        <v>857</v>
      </c>
      <c r="G48" s="107" t="s">
        <v>866</v>
      </c>
      <c r="H48" s="208"/>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39"/>
      <c r="BD48" s="8"/>
      <c r="BE48" s="8"/>
      <c r="BF48" s="8"/>
    </row>
    <row r="49" spans="1:58" ht="15" x14ac:dyDescent="0.25">
      <c r="A49" s="143" t="s">
        <v>580</v>
      </c>
      <c r="B49" s="15"/>
      <c r="C49" s="8">
        <v>1</v>
      </c>
      <c r="D49" s="8"/>
      <c r="E49" s="107" t="s">
        <v>748</v>
      </c>
      <c r="F49" s="175" t="s">
        <v>862</v>
      </c>
      <c r="G49" s="107" t="s">
        <v>866</v>
      </c>
      <c r="H49" s="208"/>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39"/>
      <c r="BD49" s="8"/>
      <c r="BE49" s="8"/>
      <c r="BF49" s="8"/>
    </row>
    <row r="50" spans="1:58" ht="15" x14ac:dyDescent="0.25">
      <c r="A50" s="143" t="s">
        <v>428</v>
      </c>
      <c r="B50" s="15">
        <v>4</v>
      </c>
      <c r="C50" s="8"/>
      <c r="D50" s="8"/>
      <c r="E50" s="107" t="s">
        <v>749</v>
      </c>
      <c r="F50" s="175" t="s">
        <v>887</v>
      </c>
      <c r="G50" s="107" t="s">
        <v>866</v>
      </c>
      <c r="H50" s="208" t="s">
        <v>921</v>
      </c>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39"/>
      <c r="BD50" s="8"/>
      <c r="BE50" s="8"/>
      <c r="BF50" s="8"/>
    </row>
    <row r="51" spans="1:58" ht="15" x14ac:dyDescent="0.25">
      <c r="A51" s="143" t="s">
        <v>433</v>
      </c>
      <c r="B51" s="15">
        <v>4</v>
      </c>
      <c r="C51" s="8">
        <v>5</v>
      </c>
      <c r="D51" s="8">
        <v>3</v>
      </c>
      <c r="E51" s="107" t="s">
        <v>895</v>
      </c>
      <c r="F51" s="175" t="s">
        <v>888</v>
      </c>
      <c r="G51" s="107" t="s">
        <v>866</v>
      </c>
      <c r="H51" s="208" t="s">
        <v>947</v>
      </c>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39"/>
      <c r="BD51" s="8"/>
      <c r="BE51" s="8"/>
      <c r="BF51" s="8"/>
    </row>
    <row r="52" spans="1:58" ht="15" x14ac:dyDescent="0.25">
      <c r="A52" s="143" t="s">
        <v>438</v>
      </c>
      <c r="B52" s="15">
        <v>6</v>
      </c>
      <c r="C52" s="8">
        <v>11</v>
      </c>
      <c r="D52" s="8">
        <v>2</v>
      </c>
      <c r="E52" s="107" t="s">
        <v>896</v>
      </c>
      <c r="F52" s="175" t="s">
        <v>889</v>
      </c>
      <c r="G52" s="107" t="s">
        <v>866</v>
      </c>
      <c r="H52" s="208"/>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39"/>
      <c r="BD52" s="8"/>
      <c r="BE52" s="8"/>
      <c r="BF52" s="8"/>
    </row>
    <row r="53" spans="1:58" ht="15" x14ac:dyDescent="0.25">
      <c r="A53" s="143" t="s">
        <v>554</v>
      </c>
      <c r="B53" s="15">
        <v>20</v>
      </c>
      <c r="C53" s="8">
        <v>80</v>
      </c>
      <c r="D53" s="8"/>
      <c r="E53" s="107" t="s">
        <v>897</v>
      </c>
      <c r="F53" s="175" t="s">
        <v>890</v>
      </c>
      <c r="G53" s="107" t="s">
        <v>898</v>
      </c>
      <c r="H53" s="208" t="s">
        <v>948</v>
      </c>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39"/>
      <c r="BD53" s="8"/>
      <c r="BE53" s="8"/>
      <c r="BF53" s="8"/>
    </row>
    <row r="54" spans="1:58" ht="15" x14ac:dyDescent="0.25">
      <c r="A54" s="143" t="s">
        <v>557</v>
      </c>
      <c r="B54" s="15">
        <v>15</v>
      </c>
      <c r="C54" s="8"/>
      <c r="D54" s="8"/>
      <c r="E54" s="107" t="s">
        <v>899</v>
      </c>
      <c r="F54" s="175" t="s">
        <v>855</v>
      </c>
      <c r="G54" s="107" t="s">
        <v>866</v>
      </c>
      <c r="H54" s="208" t="s">
        <v>922</v>
      </c>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39"/>
      <c r="BD54" s="8"/>
      <c r="BE54" s="8"/>
      <c r="BF54" s="8"/>
    </row>
    <row r="55" spans="1:58" ht="15" x14ac:dyDescent="0.25">
      <c r="A55" s="143" t="s">
        <v>426</v>
      </c>
      <c r="B55" s="15">
        <v>1</v>
      </c>
      <c r="C55" s="8">
        <v>3</v>
      </c>
      <c r="D55" s="8">
        <v>1</v>
      </c>
      <c r="E55" s="107" t="s">
        <v>917</v>
      </c>
      <c r="F55" s="175" t="s">
        <v>915</v>
      </c>
      <c r="G55" s="107" t="s">
        <v>838</v>
      </c>
      <c r="H55" s="208" t="s">
        <v>943</v>
      </c>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39"/>
      <c r="BD55" s="8"/>
      <c r="BE55" s="8"/>
      <c r="BF55" s="8"/>
    </row>
    <row r="56" spans="1:58" ht="15" x14ac:dyDescent="0.25">
      <c r="A56" s="143" t="s">
        <v>576</v>
      </c>
      <c r="B56" s="15"/>
      <c r="C56" s="8">
        <v>50</v>
      </c>
      <c r="D56" s="8"/>
      <c r="E56" s="209" t="s">
        <v>941</v>
      </c>
      <c r="F56" s="175" t="s">
        <v>918</v>
      </c>
      <c r="G56" s="209" t="s">
        <v>866</v>
      </c>
      <c r="H56" s="208" t="s">
        <v>942</v>
      </c>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39"/>
      <c r="BD56" s="8"/>
      <c r="BE56" s="8"/>
      <c r="BF56" s="8"/>
    </row>
    <row r="57" spans="1:58" ht="15" x14ac:dyDescent="0.25">
      <c r="A57" s="143" t="s">
        <v>536</v>
      </c>
      <c r="B57" s="15">
        <v>10</v>
      </c>
      <c r="C57" s="8">
        <v>50</v>
      </c>
      <c r="D57" s="8"/>
      <c r="E57" s="209" t="s">
        <v>944</v>
      </c>
      <c r="F57" s="210" t="s">
        <v>945</v>
      </c>
      <c r="G57" s="209" t="s">
        <v>866</v>
      </c>
      <c r="H57" s="208" t="s">
        <v>946</v>
      </c>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row>
    <row r="58" spans="1:58" ht="15" x14ac:dyDescent="0.25">
      <c r="A58" s="143" t="s">
        <v>529</v>
      </c>
      <c r="B58" s="15"/>
      <c r="C58" s="8"/>
      <c r="D58" s="8">
        <v>30</v>
      </c>
      <c r="E58" s="209" t="s">
        <v>950</v>
      </c>
      <c r="F58" s="210" t="s">
        <v>951</v>
      </c>
      <c r="G58" s="209" t="s">
        <v>838</v>
      </c>
      <c r="H58" s="208" t="s">
        <v>952</v>
      </c>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row>
    <row r="59" spans="1:58" ht="17.399999999999999" x14ac:dyDescent="0.3">
      <c r="A59" s="145" t="s">
        <v>784</v>
      </c>
      <c r="B59" s="75"/>
      <c r="C59" s="8"/>
      <c r="D59" s="8"/>
      <c r="E59" s="209" t="s">
        <v>957</v>
      </c>
      <c r="F59" s="210" t="s">
        <v>958</v>
      </c>
      <c r="G59" s="209" t="s">
        <v>838</v>
      </c>
      <c r="H59" s="208" t="s">
        <v>959</v>
      </c>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row>
    <row r="60" spans="1:58" ht="15" x14ac:dyDescent="0.25">
      <c r="A60" s="143" t="s">
        <v>510</v>
      </c>
      <c r="B60" s="14"/>
      <c r="C60" s="8">
        <v>1</v>
      </c>
      <c r="D60" s="8"/>
      <c r="E60" s="209" t="s">
        <v>962</v>
      </c>
      <c r="F60" s="210" t="s">
        <v>963</v>
      </c>
      <c r="G60" s="209" t="s">
        <v>964</v>
      </c>
      <c r="H60" s="208" t="s">
        <v>965</v>
      </c>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row>
    <row r="61" spans="1:58" ht="15" x14ac:dyDescent="0.25">
      <c r="A61" s="143" t="s">
        <v>428</v>
      </c>
      <c r="B61" s="14">
        <v>11</v>
      </c>
      <c r="C61" s="8">
        <v>17</v>
      </c>
      <c r="D61" s="8"/>
      <c r="E61" s="209" t="s">
        <v>977</v>
      </c>
      <c r="F61" s="210" t="s">
        <v>978</v>
      </c>
      <c r="G61" s="209" t="s">
        <v>850</v>
      </c>
      <c r="H61" s="208" t="s">
        <v>979</v>
      </c>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c r="BB61" s="107"/>
    </row>
    <row r="62" spans="1:58" ht="15" x14ac:dyDescent="0.25">
      <c r="A62" s="143" t="s">
        <v>433</v>
      </c>
      <c r="B62" s="15">
        <v>9</v>
      </c>
      <c r="C62" s="8">
        <v>8</v>
      </c>
      <c r="D62" s="8">
        <v>2</v>
      </c>
      <c r="E62" s="209" t="s">
        <v>980</v>
      </c>
      <c r="F62" s="210" t="s">
        <v>981</v>
      </c>
      <c r="G62" s="209" t="s">
        <v>850</v>
      </c>
      <c r="H62" s="208" t="s">
        <v>982</v>
      </c>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07"/>
      <c r="AZ62" s="107"/>
      <c r="BA62" s="107"/>
      <c r="BB62" s="107"/>
    </row>
    <row r="63" spans="1:58" ht="15" x14ac:dyDescent="0.25">
      <c r="A63" s="143" t="s">
        <v>438</v>
      </c>
      <c r="B63" s="15">
        <v>18</v>
      </c>
      <c r="C63" s="8">
        <v>12</v>
      </c>
      <c r="D63" s="8">
        <v>9</v>
      </c>
      <c r="E63" s="107"/>
      <c r="F63" s="175"/>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107"/>
      <c r="AT63" s="107"/>
      <c r="AU63" s="107"/>
      <c r="AV63" s="107"/>
      <c r="AW63" s="107"/>
      <c r="AX63" s="107"/>
      <c r="AY63" s="107"/>
      <c r="AZ63" s="107"/>
      <c r="BA63" s="107"/>
      <c r="BB63" s="107"/>
    </row>
    <row r="64" spans="1:58" ht="15" x14ac:dyDescent="0.25">
      <c r="A64" s="143" t="s">
        <v>426</v>
      </c>
      <c r="B64" s="15">
        <v>12</v>
      </c>
      <c r="C64" s="8">
        <v>13</v>
      </c>
      <c r="D64" s="8">
        <v>2</v>
      </c>
      <c r="E64" s="107"/>
      <c r="F64" s="175"/>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07"/>
      <c r="AO64" s="107"/>
      <c r="AP64" s="107"/>
      <c r="AQ64" s="107"/>
      <c r="AR64" s="107"/>
      <c r="AS64" s="107"/>
      <c r="AT64" s="107"/>
      <c r="AU64" s="107"/>
      <c r="AV64" s="107"/>
      <c r="AW64" s="107"/>
      <c r="AX64" s="107"/>
      <c r="AY64" s="107"/>
      <c r="AZ64" s="107"/>
      <c r="BA64" s="107"/>
      <c r="BB64" s="107"/>
    </row>
    <row r="65" spans="1:54" ht="15" x14ac:dyDescent="0.25">
      <c r="A65" s="143" t="s">
        <v>465</v>
      </c>
      <c r="B65" s="15">
        <v>4</v>
      </c>
      <c r="C65" s="8">
        <v>1</v>
      </c>
      <c r="D65" s="8"/>
      <c r="E65" s="107"/>
      <c r="F65" s="175"/>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07"/>
      <c r="AO65" s="107"/>
      <c r="AP65" s="107"/>
      <c r="AQ65" s="107"/>
      <c r="AR65" s="107"/>
      <c r="AS65" s="107"/>
      <c r="AT65" s="107"/>
      <c r="AU65" s="107"/>
      <c r="AV65" s="107"/>
      <c r="AW65" s="107"/>
      <c r="AX65" s="107"/>
      <c r="AY65" s="107"/>
      <c r="AZ65" s="107"/>
      <c r="BA65" s="107"/>
      <c r="BB65" s="107"/>
    </row>
    <row r="66" spans="1:54" ht="15" x14ac:dyDescent="0.25">
      <c r="A66" s="143" t="s">
        <v>554</v>
      </c>
      <c r="B66" s="15">
        <v>150</v>
      </c>
      <c r="C66" s="8">
        <v>300</v>
      </c>
      <c r="D66" s="8">
        <v>100</v>
      </c>
      <c r="E66" s="107"/>
      <c r="F66" s="175"/>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07"/>
      <c r="AR66" s="107"/>
      <c r="AS66" s="107"/>
      <c r="AT66" s="107"/>
      <c r="AU66" s="107"/>
      <c r="AV66" s="107"/>
      <c r="AW66" s="107"/>
      <c r="AX66" s="107"/>
      <c r="AY66" s="107"/>
      <c r="AZ66" s="107"/>
      <c r="BA66" s="107"/>
      <c r="BB66" s="107"/>
    </row>
    <row r="67" spans="1:54" ht="15" x14ac:dyDescent="0.25">
      <c r="A67" s="143" t="s">
        <v>557</v>
      </c>
      <c r="B67" s="15">
        <v>100</v>
      </c>
      <c r="C67" s="8">
        <v>183</v>
      </c>
      <c r="D67" s="8">
        <v>60</v>
      </c>
      <c r="E67" s="107"/>
      <c r="F67" s="175"/>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row>
    <row r="68" spans="1:54" ht="15" x14ac:dyDescent="0.25">
      <c r="A68" s="143" t="s">
        <v>604</v>
      </c>
      <c r="B68" s="15">
        <v>54</v>
      </c>
      <c r="C68" s="8">
        <v>42</v>
      </c>
      <c r="D68" s="8">
        <v>12</v>
      </c>
      <c r="E68" s="107"/>
      <c r="F68" s="175"/>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row>
    <row r="69" spans="1:54" ht="15" x14ac:dyDescent="0.25">
      <c r="A69" s="143" t="s">
        <v>447</v>
      </c>
      <c r="B69" s="15">
        <v>12</v>
      </c>
      <c r="C69" s="8">
        <v>20</v>
      </c>
      <c r="D69" s="8">
        <v>2</v>
      </c>
      <c r="E69" s="107"/>
      <c r="F69" s="175"/>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c r="AS69" s="107"/>
      <c r="AT69" s="107"/>
      <c r="AU69" s="107"/>
      <c r="AV69" s="107"/>
      <c r="AW69" s="107"/>
      <c r="AX69" s="107"/>
      <c r="AY69" s="107"/>
      <c r="AZ69" s="107"/>
      <c r="BA69" s="107"/>
      <c r="BB69" s="107"/>
    </row>
    <row r="70" spans="1:54" ht="15" x14ac:dyDescent="0.25">
      <c r="A70" s="143" t="s">
        <v>449</v>
      </c>
      <c r="B70" s="15">
        <v>22</v>
      </c>
      <c r="C70" s="8">
        <v>14</v>
      </c>
      <c r="D70" s="8"/>
      <c r="E70" s="107"/>
      <c r="F70" s="175"/>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c r="BA70" s="107"/>
      <c r="BB70" s="107"/>
    </row>
    <row r="71" spans="1:54" ht="15" x14ac:dyDescent="0.25">
      <c r="A71" s="143" t="s">
        <v>450</v>
      </c>
      <c r="B71" s="15">
        <v>33</v>
      </c>
      <c r="C71" s="8">
        <v>45</v>
      </c>
      <c r="D71" s="8">
        <v>12</v>
      </c>
      <c r="E71" s="107"/>
      <c r="F71" s="175"/>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07"/>
      <c r="AO71" s="107"/>
      <c r="AP71" s="107"/>
      <c r="AQ71" s="107"/>
      <c r="AR71" s="107"/>
      <c r="AS71" s="107"/>
      <c r="AT71" s="107"/>
      <c r="AU71" s="107"/>
      <c r="AV71" s="107"/>
      <c r="AW71" s="107"/>
      <c r="AX71" s="107"/>
      <c r="AY71" s="107"/>
      <c r="AZ71" s="107"/>
      <c r="BA71" s="107"/>
      <c r="BB71" s="107"/>
    </row>
    <row r="72" spans="1:54" ht="15" x14ac:dyDescent="0.25">
      <c r="A72" s="143" t="s">
        <v>453</v>
      </c>
      <c r="B72" s="15">
        <v>41</v>
      </c>
      <c r="C72" s="8">
        <v>49</v>
      </c>
      <c r="D72" s="8">
        <v>12</v>
      </c>
      <c r="E72" s="106"/>
      <c r="F72" s="17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row>
    <row r="73" spans="1:54" ht="15" x14ac:dyDescent="0.25">
      <c r="A73" s="143" t="s">
        <v>509</v>
      </c>
      <c r="B73" s="15">
        <v>6</v>
      </c>
      <c r="C73" s="8">
        <v>10</v>
      </c>
      <c r="D73" s="8"/>
      <c r="E73" s="107"/>
      <c r="F73" s="175"/>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c r="AQ73" s="107"/>
      <c r="AR73" s="107"/>
      <c r="AS73" s="107"/>
      <c r="AT73" s="107"/>
      <c r="AU73" s="107"/>
      <c r="AV73" s="107"/>
      <c r="AW73" s="107"/>
      <c r="AX73" s="107"/>
      <c r="AY73" s="107"/>
      <c r="AZ73" s="107"/>
      <c r="BA73" s="107"/>
      <c r="BB73" s="107"/>
    </row>
    <row r="74" spans="1:54" ht="15" x14ac:dyDescent="0.25">
      <c r="A74" s="143" t="s">
        <v>511</v>
      </c>
      <c r="B74" s="15">
        <v>13</v>
      </c>
      <c r="C74" s="8">
        <v>18</v>
      </c>
      <c r="D74" s="8">
        <v>6</v>
      </c>
      <c r="E74" s="107"/>
      <c r="F74" s="175"/>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07"/>
      <c r="AO74" s="107"/>
      <c r="AP74" s="107"/>
      <c r="AQ74" s="107"/>
      <c r="AR74" s="107"/>
      <c r="AS74" s="107"/>
      <c r="AT74" s="107"/>
      <c r="AU74" s="107"/>
      <c r="AV74" s="107"/>
      <c r="AW74" s="107"/>
      <c r="AX74" s="107"/>
      <c r="AY74" s="107"/>
      <c r="AZ74" s="107"/>
      <c r="BA74" s="107"/>
      <c r="BB74" s="107"/>
    </row>
    <row r="75" spans="1:54" ht="15" x14ac:dyDescent="0.25">
      <c r="A75" s="143" t="s">
        <v>526</v>
      </c>
      <c r="B75" s="15">
        <v>140</v>
      </c>
      <c r="C75" s="8">
        <v>119</v>
      </c>
      <c r="D75" s="8"/>
      <c r="E75" s="107"/>
      <c r="F75" s="175"/>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c r="AY75" s="107"/>
      <c r="AZ75" s="107"/>
      <c r="BA75" s="107"/>
      <c r="BB75" s="107"/>
    </row>
    <row r="76" spans="1:54" ht="15" x14ac:dyDescent="0.25">
      <c r="A76" s="143" t="s">
        <v>483</v>
      </c>
      <c r="B76" s="15">
        <v>600</v>
      </c>
      <c r="C76" s="8">
        <v>800</v>
      </c>
      <c r="D76" s="8">
        <v>150</v>
      </c>
      <c r="E76" s="106"/>
      <c r="F76" s="17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6"/>
      <c r="AY76" s="106"/>
      <c r="AZ76" s="106"/>
      <c r="BA76" s="106"/>
      <c r="BB76" s="106"/>
    </row>
    <row r="77" spans="1:54" ht="15" x14ac:dyDescent="0.25">
      <c r="A77" s="143" t="s">
        <v>485</v>
      </c>
      <c r="B77" s="15">
        <v>500</v>
      </c>
      <c r="C77" s="8">
        <v>900</v>
      </c>
      <c r="D77" s="8">
        <v>100</v>
      </c>
      <c r="E77" s="107"/>
      <c r="F77" s="175"/>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c r="AS77" s="107"/>
      <c r="AT77" s="107"/>
      <c r="AU77" s="107"/>
      <c r="AV77" s="107"/>
      <c r="AW77" s="107"/>
      <c r="AX77" s="107"/>
      <c r="AY77" s="107"/>
      <c r="AZ77" s="107"/>
      <c r="BA77" s="107"/>
      <c r="BB77" s="107"/>
    </row>
    <row r="78" spans="1:54" ht="15" x14ac:dyDescent="0.25">
      <c r="A78" s="143" t="s">
        <v>576</v>
      </c>
      <c r="B78" s="15">
        <v>300</v>
      </c>
      <c r="C78" s="8">
        <v>400</v>
      </c>
      <c r="D78" s="8"/>
      <c r="E78" s="107"/>
      <c r="F78" s="175"/>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row>
    <row r="79" spans="1:54" ht="15" x14ac:dyDescent="0.25">
      <c r="A79" s="143" t="s">
        <v>536</v>
      </c>
      <c r="B79" s="15">
        <v>50</v>
      </c>
      <c r="C79" s="8">
        <v>150</v>
      </c>
      <c r="D79" s="8">
        <v>50</v>
      </c>
      <c r="E79" s="107"/>
      <c r="F79" s="175"/>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row>
    <row r="80" spans="1:54" ht="15" x14ac:dyDescent="0.25">
      <c r="A80" s="143" t="s">
        <v>529</v>
      </c>
      <c r="B80" s="15"/>
      <c r="C80" s="8"/>
      <c r="D80" s="8">
        <v>30</v>
      </c>
      <c r="E80" s="107"/>
      <c r="F80" s="175"/>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c r="AW80" s="107"/>
      <c r="AX80" s="107"/>
      <c r="AY80" s="107"/>
      <c r="AZ80" s="107"/>
      <c r="BA80" s="107"/>
      <c r="BB80" s="107"/>
    </row>
    <row r="81" spans="1:54" ht="15" x14ac:dyDescent="0.25">
      <c r="A81" s="143" t="s">
        <v>538</v>
      </c>
      <c r="B81" s="15">
        <v>40</v>
      </c>
      <c r="C81" s="8">
        <v>27</v>
      </c>
      <c r="D81" s="8"/>
      <c r="E81" s="107"/>
      <c r="F81" s="175"/>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row>
    <row r="82" spans="1:54" ht="15" x14ac:dyDescent="0.25">
      <c r="A82" s="143" t="s">
        <v>573</v>
      </c>
      <c r="B82" s="15">
        <v>20</v>
      </c>
      <c r="C82" s="8">
        <v>21</v>
      </c>
      <c r="D82" s="8">
        <v>6</v>
      </c>
      <c r="E82" s="107"/>
      <c r="F82" s="175"/>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row>
    <row r="83" spans="1:54" ht="17.399999999999999" x14ac:dyDescent="0.3">
      <c r="A83" s="145" t="s">
        <v>785</v>
      </c>
      <c r="B83" s="74"/>
      <c r="C83" s="8"/>
      <c r="D83" s="8"/>
      <c r="E83" s="107"/>
      <c r="F83" s="175"/>
      <c r="G83" s="107"/>
      <c r="H83" s="107"/>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c r="AY83" s="107"/>
      <c r="AZ83" s="107"/>
      <c r="BA83" s="107"/>
      <c r="BB83" s="107"/>
    </row>
    <row r="84" spans="1:54" ht="15" x14ac:dyDescent="0.25">
      <c r="A84" s="143" t="s">
        <v>460</v>
      </c>
      <c r="B84" s="15">
        <v>1</v>
      </c>
      <c r="C84" s="8"/>
      <c r="D84" s="8"/>
      <c r="E84" s="107"/>
      <c r="F84" s="175"/>
      <c r="G84" s="107"/>
      <c r="H84" s="107"/>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c r="AS84" s="107"/>
      <c r="AT84" s="107"/>
      <c r="AU84" s="107"/>
      <c r="AV84" s="107"/>
      <c r="AW84" s="107"/>
      <c r="AX84" s="107"/>
      <c r="AY84" s="107"/>
      <c r="AZ84" s="107"/>
      <c r="BA84" s="107"/>
      <c r="BB84" s="107"/>
    </row>
    <row r="85" spans="1:54" ht="15" x14ac:dyDescent="0.25">
      <c r="A85" s="143" t="s">
        <v>428</v>
      </c>
      <c r="B85" s="15"/>
      <c r="C85" s="8">
        <v>5</v>
      </c>
      <c r="D85" s="8"/>
      <c r="E85" s="107"/>
      <c r="F85" s="175"/>
      <c r="G85" s="107"/>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row>
    <row r="86" spans="1:54" ht="15" x14ac:dyDescent="0.25">
      <c r="A86" s="143" t="s">
        <v>433</v>
      </c>
      <c r="B86" s="15"/>
      <c r="C86" s="8">
        <v>4</v>
      </c>
      <c r="D86" s="8"/>
      <c r="E86" s="107"/>
      <c r="F86" s="175"/>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row>
    <row r="87" spans="1:54" ht="15" x14ac:dyDescent="0.25">
      <c r="A87" s="143" t="s">
        <v>449</v>
      </c>
      <c r="B87" s="15">
        <v>1</v>
      </c>
      <c r="C87" s="8">
        <v>2</v>
      </c>
      <c r="D87" s="8"/>
      <c r="E87" s="107"/>
      <c r="F87" s="175"/>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c r="AY87" s="107"/>
      <c r="AZ87" s="107"/>
      <c r="BA87" s="107"/>
      <c r="BB87" s="107"/>
    </row>
    <row r="88" spans="1:54" ht="15" x14ac:dyDescent="0.25">
      <c r="A88" s="143" t="s">
        <v>450</v>
      </c>
      <c r="B88" s="15">
        <v>3</v>
      </c>
      <c r="C88" s="8"/>
      <c r="D88" s="8"/>
      <c r="E88" s="107"/>
      <c r="F88" s="175"/>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row>
    <row r="89" spans="1:54" ht="15" x14ac:dyDescent="0.25">
      <c r="A89" s="143" t="s">
        <v>451</v>
      </c>
      <c r="B89" s="15">
        <v>3</v>
      </c>
      <c r="C89" s="8">
        <v>1</v>
      </c>
      <c r="D89" s="8">
        <v>1</v>
      </c>
      <c r="E89" s="107"/>
      <c r="F89" s="175"/>
      <c r="G89" s="107"/>
      <c r="H89" s="107"/>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c r="AS89" s="107"/>
      <c r="AT89" s="107"/>
      <c r="AU89" s="107"/>
      <c r="AV89" s="107"/>
      <c r="AW89" s="107"/>
      <c r="AX89" s="107"/>
      <c r="AY89" s="107"/>
      <c r="AZ89" s="107"/>
      <c r="BA89" s="107"/>
      <c r="BB89" s="107"/>
    </row>
    <row r="90" spans="1:54" ht="15" x14ac:dyDescent="0.25">
      <c r="A90" s="143" t="s">
        <v>455</v>
      </c>
      <c r="B90" s="15">
        <v>5</v>
      </c>
      <c r="C90" s="8">
        <v>5</v>
      </c>
      <c r="D90" s="8">
        <v>1</v>
      </c>
      <c r="E90" s="107"/>
      <c r="F90" s="175"/>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row>
    <row r="91" spans="1:54" ht="15" x14ac:dyDescent="0.25">
      <c r="A91" s="143" t="s">
        <v>393</v>
      </c>
      <c r="B91" s="15"/>
      <c r="C91" s="8"/>
      <c r="D91" s="8">
        <v>4</v>
      </c>
      <c r="E91" s="107"/>
      <c r="F91" s="175"/>
      <c r="G91" s="107"/>
      <c r="H91" s="107"/>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row>
    <row r="92" spans="1:54" ht="15" x14ac:dyDescent="0.25">
      <c r="A92" s="143" t="s">
        <v>394</v>
      </c>
      <c r="B92" s="15">
        <v>6</v>
      </c>
      <c r="C92" s="8">
        <v>3</v>
      </c>
      <c r="D92" s="8"/>
      <c r="E92" s="107"/>
      <c r="F92" s="175"/>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c r="AY92" s="107"/>
      <c r="AZ92" s="107"/>
      <c r="BA92" s="107"/>
      <c r="BB92" s="107"/>
    </row>
    <row r="93" spans="1:54" ht="15" x14ac:dyDescent="0.25">
      <c r="A93" s="143" t="s">
        <v>398</v>
      </c>
      <c r="B93" s="15">
        <v>1</v>
      </c>
      <c r="C93" s="8">
        <v>1</v>
      </c>
      <c r="D93" s="8"/>
      <c r="E93" s="107"/>
      <c r="F93" s="175"/>
      <c r="G93" s="107"/>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c r="AY93" s="107"/>
      <c r="AZ93" s="107"/>
      <c r="BA93" s="107"/>
      <c r="BB93" s="107"/>
    </row>
    <row r="94" spans="1:54" ht="15" x14ac:dyDescent="0.25">
      <c r="A94" s="143" t="s">
        <v>400</v>
      </c>
      <c r="B94" s="15">
        <v>3</v>
      </c>
      <c r="C94" s="8">
        <v>2</v>
      </c>
      <c r="D94" s="8"/>
      <c r="E94" s="107"/>
      <c r="F94" s="175"/>
      <c r="G94" s="107"/>
      <c r="H94" s="107"/>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c r="AS94" s="107"/>
      <c r="AT94" s="107"/>
      <c r="AU94" s="107"/>
      <c r="AV94" s="107"/>
      <c r="AW94" s="107"/>
      <c r="AX94" s="107"/>
      <c r="AY94" s="107"/>
      <c r="AZ94" s="107"/>
      <c r="BA94" s="107"/>
      <c r="BB94" s="107"/>
    </row>
    <row r="95" spans="1:54" ht="15" x14ac:dyDescent="0.25">
      <c r="A95" s="143" t="s">
        <v>401</v>
      </c>
      <c r="B95" s="15">
        <v>3</v>
      </c>
      <c r="C95" s="8">
        <v>2</v>
      </c>
      <c r="D95" s="8"/>
      <c r="E95" s="107"/>
      <c r="F95" s="175"/>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c r="AS95" s="107"/>
      <c r="AT95" s="107"/>
      <c r="AU95" s="107"/>
      <c r="AV95" s="107"/>
      <c r="AW95" s="107"/>
      <c r="AX95" s="107"/>
      <c r="AY95" s="107"/>
      <c r="AZ95" s="107"/>
      <c r="BA95" s="107"/>
      <c r="BB95" s="107"/>
    </row>
    <row r="96" spans="1:54" ht="15" x14ac:dyDescent="0.25">
      <c r="A96" s="143" t="s">
        <v>515</v>
      </c>
      <c r="B96" s="15">
        <v>10</v>
      </c>
      <c r="C96" s="8">
        <v>12</v>
      </c>
      <c r="D96" s="8">
        <v>4</v>
      </c>
      <c r="E96" s="107"/>
      <c r="F96" s="175"/>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row>
    <row r="97" spans="1:54" ht="15" x14ac:dyDescent="0.25">
      <c r="A97" s="143" t="s">
        <v>426</v>
      </c>
      <c r="B97" s="15">
        <v>4</v>
      </c>
      <c r="C97" s="8">
        <v>6</v>
      </c>
      <c r="D97" s="8">
        <v>1</v>
      </c>
      <c r="E97" s="107"/>
      <c r="F97" s="175"/>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row>
    <row r="98" spans="1:54" ht="15" x14ac:dyDescent="0.25">
      <c r="A98" s="143" t="s">
        <v>525</v>
      </c>
      <c r="B98" s="15">
        <v>25</v>
      </c>
      <c r="C98" s="8">
        <v>40</v>
      </c>
      <c r="D98" s="8">
        <v>30</v>
      </c>
      <c r="E98" s="107"/>
      <c r="F98" s="175"/>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c r="AS98" s="107"/>
      <c r="AT98" s="107"/>
      <c r="AU98" s="107"/>
      <c r="AV98" s="107"/>
      <c r="AW98" s="107"/>
      <c r="AX98" s="107"/>
      <c r="AY98" s="107"/>
      <c r="AZ98" s="107"/>
      <c r="BA98" s="107"/>
      <c r="BB98" s="107"/>
    </row>
    <row r="99" spans="1:54" ht="15" x14ac:dyDescent="0.25">
      <c r="A99" s="143" t="s">
        <v>526</v>
      </c>
      <c r="B99" s="15">
        <v>25</v>
      </c>
      <c r="C99" s="8">
        <v>10</v>
      </c>
      <c r="D99" s="8">
        <v>30</v>
      </c>
      <c r="E99" s="107"/>
      <c r="F99" s="175"/>
      <c r="G99" s="107"/>
      <c r="H99" s="107"/>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c r="AS99" s="107"/>
      <c r="AT99" s="107"/>
      <c r="AU99" s="107"/>
      <c r="AV99" s="107"/>
      <c r="AW99" s="107"/>
      <c r="AX99" s="107"/>
      <c r="AY99" s="107"/>
      <c r="AZ99" s="107"/>
      <c r="BA99" s="107"/>
      <c r="BB99" s="107"/>
    </row>
    <row r="100" spans="1:54" ht="15" x14ac:dyDescent="0.25">
      <c r="A100" s="143" t="s">
        <v>545</v>
      </c>
      <c r="B100" s="15">
        <v>10</v>
      </c>
      <c r="C100" s="8">
        <v>10</v>
      </c>
      <c r="D100" s="8"/>
      <c r="E100" s="107"/>
      <c r="F100" s="175"/>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c r="AY100" s="107"/>
      <c r="AZ100" s="107"/>
      <c r="BA100" s="107"/>
      <c r="BB100" s="107"/>
    </row>
    <row r="101" spans="1:54" ht="15" x14ac:dyDescent="0.25">
      <c r="A101" s="143" t="s">
        <v>534</v>
      </c>
      <c r="B101" s="15">
        <v>1</v>
      </c>
      <c r="C101" s="8">
        <v>2</v>
      </c>
      <c r="D101" s="8"/>
      <c r="E101" s="107"/>
      <c r="F101" s="175"/>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c r="AX101" s="107"/>
      <c r="AY101" s="107"/>
      <c r="AZ101" s="107"/>
      <c r="BA101" s="107"/>
      <c r="BB101" s="107"/>
    </row>
    <row r="102" spans="1:54" ht="15" x14ac:dyDescent="0.25">
      <c r="A102" s="143" t="s">
        <v>535</v>
      </c>
      <c r="B102" s="15">
        <v>1</v>
      </c>
      <c r="C102" s="8">
        <v>1</v>
      </c>
      <c r="D102" s="8">
        <v>1</v>
      </c>
      <c r="E102" s="107"/>
      <c r="F102" s="175"/>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c r="AX102" s="107"/>
      <c r="AY102" s="107"/>
      <c r="AZ102" s="107"/>
      <c r="BA102" s="107"/>
      <c r="BB102" s="107"/>
    </row>
    <row r="103" spans="1:54" ht="15" x14ac:dyDescent="0.25">
      <c r="A103" s="143" t="s">
        <v>573</v>
      </c>
      <c r="B103" s="15">
        <v>3</v>
      </c>
      <c r="C103" s="8">
        <v>4</v>
      </c>
      <c r="D103" s="8"/>
      <c r="E103" s="107"/>
      <c r="F103" s="175"/>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c r="AY103" s="107"/>
      <c r="AZ103" s="107"/>
      <c r="BA103" s="107"/>
      <c r="BB103" s="107"/>
    </row>
    <row r="104" spans="1:54" ht="15" x14ac:dyDescent="0.25">
      <c r="A104" s="143" t="s">
        <v>538</v>
      </c>
      <c r="B104" s="15">
        <v>5</v>
      </c>
      <c r="C104" s="8"/>
      <c r="D104" s="8"/>
      <c r="E104" s="107"/>
      <c r="F104" s="175"/>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c r="AX104" s="107"/>
      <c r="AY104" s="107"/>
      <c r="AZ104" s="107"/>
      <c r="BA104" s="107"/>
      <c r="BB104" s="107"/>
    </row>
    <row r="105" spans="1:54" ht="15" x14ac:dyDescent="0.25">
      <c r="A105" s="143" t="s">
        <v>576</v>
      </c>
      <c r="B105" s="15">
        <v>10</v>
      </c>
      <c r="C105" s="8">
        <v>10</v>
      </c>
      <c r="D105" s="8">
        <v>10</v>
      </c>
      <c r="E105" s="107"/>
      <c r="F105" s="175"/>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c r="AY105" s="107"/>
      <c r="AZ105" s="107"/>
      <c r="BA105" s="107"/>
      <c r="BB105" s="107"/>
    </row>
    <row r="106" spans="1:54" ht="15" x14ac:dyDescent="0.25">
      <c r="A106" s="143" t="s">
        <v>536</v>
      </c>
      <c r="B106" s="15"/>
      <c r="C106" s="8">
        <v>10</v>
      </c>
      <c r="D106" s="8"/>
      <c r="E106" s="106"/>
      <c r="F106" s="17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row>
    <row r="107" spans="1:54" ht="17.399999999999999" x14ac:dyDescent="0.3">
      <c r="A107" s="145" t="s">
        <v>786</v>
      </c>
      <c r="B107" s="74"/>
      <c r="C107" s="8"/>
      <c r="D107" s="8"/>
      <c r="E107" s="107"/>
      <c r="F107" s="175"/>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row>
    <row r="108" spans="1:54" ht="15" x14ac:dyDescent="0.25">
      <c r="A108" s="143" t="s">
        <v>557</v>
      </c>
      <c r="B108" s="15">
        <v>10</v>
      </c>
      <c r="C108" s="8"/>
      <c r="D108" s="8"/>
      <c r="E108" s="107"/>
      <c r="F108" s="175"/>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row>
    <row r="109" spans="1:54" ht="15" x14ac:dyDescent="0.25">
      <c r="A109" s="143" t="s">
        <v>413</v>
      </c>
      <c r="B109" s="15"/>
      <c r="C109" s="8">
        <v>3</v>
      </c>
      <c r="D109" s="8"/>
      <c r="E109" s="107"/>
      <c r="F109" s="175"/>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c r="AZ109" s="107"/>
      <c r="BA109" s="107"/>
      <c r="BB109" s="107"/>
    </row>
    <row r="110" spans="1:54" ht="15" x14ac:dyDescent="0.25">
      <c r="A110" s="143" t="s">
        <v>451</v>
      </c>
      <c r="B110" s="15">
        <v>3</v>
      </c>
      <c r="C110" s="8">
        <v>5</v>
      </c>
      <c r="D110" s="8"/>
      <c r="E110" s="107"/>
      <c r="F110" s="175"/>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row>
    <row r="111" spans="1:54" ht="15" x14ac:dyDescent="0.25">
      <c r="A111" s="143" t="s">
        <v>453</v>
      </c>
      <c r="B111" s="15">
        <v>5</v>
      </c>
      <c r="C111" s="8">
        <v>1</v>
      </c>
      <c r="D111" s="8"/>
      <c r="E111" s="107"/>
      <c r="F111" s="175"/>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c r="AY111" s="107"/>
      <c r="AZ111" s="107"/>
      <c r="BA111" s="107"/>
      <c r="BB111" s="107"/>
    </row>
    <row r="112" spans="1:54" ht="15" x14ac:dyDescent="0.25">
      <c r="A112" s="143" t="s">
        <v>394</v>
      </c>
      <c r="B112" s="15">
        <v>2</v>
      </c>
      <c r="C112" s="8">
        <v>3</v>
      </c>
      <c r="D112" s="8"/>
      <c r="E112" s="107"/>
      <c r="F112" s="175"/>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c r="AY112" s="107"/>
      <c r="AZ112" s="107"/>
      <c r="BA112" s="107"/>
      <c r="BB112" s="107"/>
    </row>
    <row r="113" spans="1:54" ht="15" x14ac:dyDescent="0.25">
      <c r="A113" s="143" t="s">
        <v>427</v>
      </c>
      <c r="B113" s="15">
        <v>1</v>
      </c>
      <c r="C113" s="8"/>
      <c r="D113" s="8"/>
      <c r="E113" s="106"/>
      <c r="F113" s="17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c r="AZ113" s="106"/>
      <c r="BA113" s="106"/>
      <c r="BB113" s="106"/>
    </row>
    <row r="114" spans="1:54" ht="15" x14ac:dyDescent="0.25">
      <c r="A114" s="143" t="s">
        <v>590</v>
      </c>
      <c r="B114" s="15">
        <v>1</v>
      </c>
      <c r="C114" s="8"/>
      <c r="D114" s="8"/>
      <c r="E114" s="107"/>
      <c r="F114" s="175"/>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row>
    <row r="115" spans="1:54" ht="15" x14ac:dyDescent="0.25">
      <c r="A115" s="143"/>
      <c r="B115" s="15"/>
      <c r="C115" s="8"/>
      <c r="D115" s="8"/>
      <c r="E115" s="107"/>
      <c r="F115" s="175"/>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c r="AX115" s="107"/>
      <c r="AY115" s="107"/>
      <c r="AZ115" s="107"/>
      <c r="BA115" s="107"/>
      <c r="BB115" s="107"/>
    </row>
    <row r="116" spans="1:54" ht="17.399999999999999" x14ac:dyDescent="0.3">
      <c r="A116" s="145" t="s">
        <v>787</v>
      </c>
      <c r="B116" s="74"/>
      <c r="C116" s="8"/>
      <c r="D116" s="8"/>
      <c r="E116" s="107"/>
      <c r="F116" s="175"/>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c r="AY116" s="107"/>
      <c r="AZ116" s="107"/>
      <c r="BA116" s="107"/>
      <c r="BB116" s="107"/>
    </row>
    <row r="117" spans="1:54" ht="15" x14ac:dyDescent="0.25">
      <c r="A117" s="143" t="s">
        <v>417</v>
      </c>
      <c r="B117" s="15">
        <v>1</v>
      </c>
      <c r="C117" s="8">
        <v>2</v>
      </c>
      <c r="D117" s="8">
        <v>1</v>
      </c>
      <c r="E117" s="107"/>
      <c r="F117" s="175"/>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c r="AX117" s="107"/>
      <c r="AY117" s="107"/>
      <c r="AZ117" s="107"/>
      <c r="BA117" s="107"/>
      <c r="BB117" s="107"/>
    </row>
    <row r="118" spans="1:54" ht="15" x14ac:dyDescent="0.25">
      <c r="A118" s="143" t="s">
        <v>450</v>
      </c>
      <c r="B118" s="15"/>
      <c r="C118" s="8">
        <v>1</v>
      </c>
      <c r="D118" s="8"/>
      <c r="E118" s="107"/>
      <c r="F118" s="175"/>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c r="AX118" s="107"/>
      <c r="AY118" s="107"/>
      <c r="AZ118" s="107"/>
      <c r="BA118" s="107"/>
      <c r="BB118" s="107"/>
    </row>
    <row r="119" spans="1:54" ht="15" x14ac:dyDescent="0.25">
      <c r="A119" s="143" t="s">
        <v>449</v>
      </c>
      <c r="B119" s="15"/>
      <c r="C119" s="8">
        <v>1</v>
      </c>
      <c r="D119" s="8"/>
      <c r="E119" s="107"/>
      <c r="F119" s="175"/>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c r="AX119" s="107"/>
      <c r="AY119" s="107"/>
      <c r="AZ119" s="107"/>
      <c r="BA119" s="107"/>
      <c r="BB119" s="107"/>
    </row>
    <row r="120" spans="1:54" ht="15" x14ac:dyDescent="0.25">
      <c r="A120" s="143" t="s">
        <v>453</v>
      </c>
      <c r="B120" s="15">
        <v>1</v>
      </c>
      <c r="C120" s="8">
        <v>1</v>
      </c>
      <c r="D120" s="8"/>
      <c r="E120" s="107"/>
      <c r="F120" s="175"/>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c r="AX120" s="107"/>
      <c r="AY120" s="107"/>
      <c r="AZ120" s="107"/>
      <c r="BA120" s="107"/>
      <c r="BB120" s="107"/>
    </row>
    <row r="121" spans="1:54" ht="15" x14ac:dyDescent="0.25">
      <c r="A121" s="143" t="s">
        <v>510</v>
      </c>
      <c r="B121" s="15">
        <v>1</v>
      </c>
      <c r="C121" s="8"/>
      <c r="D121" s="8"/>
      <c r="E121" s="107"/>
      <c r="F121" s="175"/>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c r="AX121" s="107"/>
      <c r="AY121" s="107"/>
      <c r="AZ121" s="107"/>
      <c r="BA121" s="107"/>
      <c r="BB121" s="107"/>
    </row>
    <row r="122" spans="1:54" ht="15" x14ac:dyDescent="0.25">
      <c r="A122" s="143" t="s">
        <v>433</v>
      </c>
      <c r="B122" s="15">
        <v>1</v>
      </c>
      <c r="C122" s="8">
        <v>3</v>
      </c>
      <c r="D122" s="8">
        <v>1</v>
      </c>
      <c r="E122" s="107"/>
      <c r="F122" s="175"/>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c r="AY122" s="107"/>
      <c r="AZ122" s="107"/>
      <c r="BA122" s="107"/>
      <c r="BB122" s="107"/>
    </row>
    <row r="123" spans="1:54" ht="15" x14ac:dyDescent="0.25">
      <c r="A123" s="143"/>
      <c r="B123" s="15"/>
      <c r="C123" s="8"/>
      <c r="D123" s="8"/>
      <c r="E123" s="107"/>
      <c r="F123" s="175"/>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c r="AX123" s="107"/>
      <c r="AY123" s="107"/>
      <c r="AZ123" s="107"/>
      <c r="BA123" s="107"/>
      <c r="BB123" s="107"/>
    </row>
    <row r="124" spans="1:54" ht="15" x14ac:dyDescent="0.25">
      <c r="A124" s="143"/>
      <c r="B124" s="15"/>
      <c r="C124" s="8"/>
      <c r="D124" s="8"/>
      <c r="E124" s="107"/>
      <c r="F124" s="175"/>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c r="AZ124" s="107"/>
      <c r="BA124" s="107"/>
      <c r="BB124" s="107"/>
    </row>
    <row r="125" spans="1:54" ht="17.399999999999999" x14ac:dyDescent="0.3">
      <c r="A125" s="145" t="s">
        <v>788</v>
      </c>
      <c r="B125" s="74"/>
      <c r="C125" s="8"/>
      <c r="D125" s="8"/>
      <c r="E125" s="107"/>
      <c r="F125" s="175"/>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c r="AY125" s="107"/>
      <c r="AZ125" s="107"/>
      <c r="BA125" s="107"/>
      <c r="BB125" s="107"/>
    </row>
    <row r="126" spans="1:54" ht="15" x14ac:dyDescent="0.25">
      <c r="A126" s="143" t="s">
        <v>557</v>
      </c>
      <c r="B126" s="15"/>
      <c r="C126" s="8">
        <v>30</v>
      </c>
      <c r="D126" s="8"/>
      <c r="E126" s="107"/>
      <c r="F126" s="175"/>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c r="AX126" s="107"/>
      <c r="AY126" s="107"/>
      <c r="AZ126" s="107"/>
      <c r="BA126" s="107"/>
      <c r="BB126" s="107"/>
    </row>
    <row r="127" spans="1:54" ht="15" x14ac:dyDescent="0.25">
      <c r="A127" s="143" t="s">
        <v>484</v>
      </c>
      <c r="B127" s="15"/>
      <c r="C127" s="8">
        <v>27</v>
      </c>
      <c r="D127" s="8"/>
      <c r="E127" s="107"/>
      <c r="F127" s="175"/>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c r="AY127" s="107"/>
      <c r="AZ127" s="107"/>
      <c r="BA127" s="107"/>
      <c r="BB127" s="107"/>
    </row>
    <row r="128" spans="1:54" ht="15" x14ac:dyDescent="0.25">
      <c r="A128" s="143" t="s">
        <v>428</v>
      </c>
      <c r="B128" s="15">
        <v>2</v>
      </c>
      <c r="C128" s="8"/>
      <c r="D128" s="8"/>
      <c r="E128" s="107"/>
      <c r="F128" s="175"/>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c r="AX128" s="107"/>
      <c r="AY128" s="107"/>
      <c r="AZ128" s="107"/>
      <c r="BA128" s="107"/>
      <c r="BB128" s="107"/>
    </row>
    <row r="129" spans="1:54" ht="15" x14ac:dyDescent="0.25">
      <c r="A129" s="143" t="s">
        <v>465</v>
      </c>
      <c r="B129" s="15">
        <v>1</v>
      </c>
      <c r="C129" s="8">
        <v>1</v>
      </c>
      <c r="D129" s="8"/>
      <c r="E129" s="107"/>
      <c r="F129" s="175"/>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c r="AX129" s="107"/>
      <c r="AY129" s="107"/>
      <c r="AZ129" s="107"/>
      <c r="BA129" s="107"/>
      <c r="BB129" s="107"/>
    </row>
    <row r="130" spans="1:54" ht="15" x14ac:dyDescent="0.25">
      <c r="A130" s="143" t="s">
        <v>467</v>
      </c>
      <c r="B130" s="15">
        <v>1</v>
      </c>
      <c r="C130" s="8">
        <v>1</v>
      </c>
      <c r="D130" s="8"/>
      <c r="E130" s="106"/>
      <c r="F130" s="17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row>
    <row r="131" spans="1:54" ht="15" x14ac:dyDescent="0.25">
      <c r="A131" s="143" t="s">
        <v>413</v>
      </c>
      <c r="B131" s="15">
        <v>4</v>
      </c>
      <c r="C131" s="8">
        <v>3</v>
      </c>
      <c r="D131" s="8"/>
      <c r="E131" s="106"/>
      <c r="F131" s="17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row>
    <row r="132" spans="1:54" ht="15" x14ac:dyDescent="0.25">
      <c r="A132" s="143" t="s">
        <v>427</v>
      </c>
      <c r="B132" s="15"/>
      <c r="C132" s="8">
        <v>1</v>
      </c>
      <c r="D132" s="8"/>
      <c r="E132" s="107"/>
      <c r="F132" s="175"/>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c r="AY132" s="107"/>
      <c r="AZ132" s="107"/>
      <c r="BA132" s="107"/>
      <c r="BB132" s="107"/>
    </row>
    <row r="133" spans="1:54" ht="15" x14ac:dyDescent="0.25">
      <c r="A133" s="143" t="s">
        <v>404</v>
      </c>
      <c r="B133" s="15">
        <v>1</v>
      </c>
      <c r="C133" s="8"/>
      <c r="D133" s="8"/>
      <c r="E133" s="107"/>
      <c r="F133" s="175"/>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c r="AZ133" s="107"/>
      <c r="BA133" s="107"/>
      <c r="BB133" s="107"/>
    </row>
    <row r="134" spans="1:54" ht="15" x14ac:dyDescent="0.25">
      <c r="A134" s="143" t="s">
        <v>447</v>
      </c>
      <c r="B134" s="15"/>
      <c r="C134" s="8">
        <v>1</v>
      </c>
      <c r="D134" s="8"/>
      <c r="E134" s="107"/>
      <c r="F134" s="175"/>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c r="AX134" s="107"/>
      <c r="AY134" s="107"/>
      <c r="AZ134" s="107"/>
      <c r="BA134" s="107"/>
      <c r="BB134" s="107"/>
    </row>
    <row r="135" spans="1:54" ht="15" x14ac:dyDescent="0.25">
      <c r="A135" s="143" t="s">
        <v>450</v>
      </c>
      <c r="B135" s="15">
        <v>3</v>
      </c>
      <c r="C135" s="8">
        <v>2</v>
      </c>
      <c r="D135" s="8"/>
      <c r="E135" s="107"/>
      <c r="F135" s="175"/>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row>
    <row r="136" spans="1:54" ht="15" x14ac:dyDescent="0.25">
      <c r="A136" s="143" t="s">
        <v>453</v>
      </c>
      <c r="B136" s="15">
        <v>1</v>
      </c>
      <c r="C136" s="8"/>
      <c r="D136" s="8"/>
      <c r="E136" s="107"/>
      <c r="F136" s="175"/>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c r="AZ136" s="107"/>
      <c r="BA136" s="107"/>
      <c r="BB136" s="107"/>
    </row>
    <row r="137" spans="1:54" ht="15" x14ac:dyDescent="0.25">
      <c r="A137" s="143"/>
      <c r="B137" s="15"/>
      <c r="C137" s="8"/>
      <c r="D137" s="8"/>
      <c r="E137" s="107"/>
      <c r="F137" s="175"/>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c r="AY137" s="107"/>
      <c r="AZ137" s="107"/>
      <c r="BA137" s="107"/>
      <c r="BB137" s="107"/>
    </row>
    <row r="138" spans="1:54" ht="15" x14ac:dyDescent="0.25">
      <c r="A138" s="143"/>
      <c r="B138" s="15"/>
      <c r="C138" s="8"/>
      <c r="D138" s="8"/>
      <c r="E138" s="106"/>
      <c r="F138" s="17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c r="AZ138" s="106"/>
      <c r="BA138" s="106"/>
      <c r="BB138" s="106"/>
    </row>
    <row r="139" spans="1:54" ht="15" x14ac:dyDescent="0.25">
      <c r="A139" s="143"/>
      <c r="B139" s="15"/>
      <c r="C139" s="8"/>
      <c r="D139" s="8"/>
      <c r="E139" s="107"/>
      <c r="F139" s="175"/>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c r="AY139" s="107"/>
      <c r="AZ139" s="107"/>
      <c r="BA139" s="107"/>
      <c r="BB139" s="107"/>
    </row>
    <row r="140" spans="1:54" ht="15" x14ac:dyDescent="0.25">
      <c r="A140" s="143"/>
      <c r="B140" s="15"/>
      <c r="C140" s="8"/>
      <c r="D140" s="8"/>
      <c r="E140" s="107"/>
      <c r="F140" s="175"/>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c r="AZ140" s="107"/>
      <c r="BA140" s="107"/>
      <c r="BB140" s="107"/>
    </row>
    <row r="141" spans="1:54" ht="17.399999999999999" x14ac:dyDescent="0.3">
      <c r="A141" s="145" t="s">
        <v>789</v>
      </c>
      <c r="B141" s="74"/>
      <c r="C141" s="8"/>
      <c r="D141" s="8"/>
      <c r="E141" s="107"/>
      <c r="F141" s="175"/>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c r="AZ141" s="107"/>
      <c r="BA141" s="107"/>
      <c r="BB141" s="107"/>
    </row>
    <row r="142" spans="1:54" ht="15" x14ac:dyDescent="0.25">
      <c r="A142" s="143" t="s">
        <v>450</v>
      </c>
      <c r="B142" s="15">
        <v>2</v>
      </c>
      <c r="C142" s="8">
        <v>1</v>
      </c>
      <c r="D142" s="8"/>
      <c r="E142" s="107"/>
      <c r="F142" s="175"/>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c r="AX142" s="107"/>
      <c r="AY142" s="107"/>
      <c r="AZ142" s="107"/>
      <c r="BA142" s="107"/>
      <c r="BB142" s="107"/>
    </row>
    <row r="143" spans="1:54" ht="15" x14ac:dyDescent="0.25">
      <c r="A143" s="143" t="s">
        <v>453</v>
      </c>
      <c r="B143" s="15">
        <v>2</v>
      </c>
      <c r="C143" s="8">
        <v>3</v>
      </c>
      <c r="D143" s="8"/>
      <c r="E143" s="107"/>
      <c r="F143" s="175"/>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c r="AZ143" s="107"/>
      <c r="BA143" s="107"/>
      <c r="BB143" s="107"/>
    </row>
    <row r="144" spans="1:54" ht="15" x14ac:dyDescent="0.25">
      <c r="A144" s="143" t="s">
        <v>465</v>
      </c>
      <c r="B144" s="15"/>
      <c r="C144" s="8">
        <v>1</v>
      </c>
      <c r="D144" s="8"/>
      <c r="E144" s="106"/>
      <c r="F144" s="17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c r="AZ144" s="106"/>
      <c r="BA144" s="106"/>
      <c r="BB144" s="106"/>
    </row>
    <row r="145" spans="1:54" ht="15" x14ac:dyDescent="0.25">
      <c r="A145" s="143"/>
      <c r="B145" s="15"/>
      <c r="C145" s="8"/>
      <c r="D145" s="8"/>
      <c r="E145" s="107"/>
      <c r="F145" s="175"/>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c r="AY145" s="107"/>
      <c r="AZ145" s="107"/>
      <c r="BA145" s="107"/>
      <c r="BB145" s="107"/>
    </row>
    <row r="146" spans="1:54" ht="15" x14ac:dyDescent="0.25">
      <c r="A146" s="143"/>
      <c r="B146" s="15"/>
      <c r="C146" s="8"/>
      <c r="D146" s="8"/>
      <c r="E146" s="107"/>
      <c r="F146" s="175"/>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c r="AZ146" s="107"/>
      <c r="BA146" s="107"/>
      <c r="BB146" s="107"/>
    </row>
    <row r="147" spans="1:54" ht="15" x14ac:dyDescent="0.25">
      <c r="A147" s="143"/>
      <c r="B147" s="15"/>
      <c r="C147" s="8"/>
      <c r="D147" s="8"/>
      <c r="E147" s="107"/>
      <c r="F147" s="175"/>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c r="AY147" s="107"/>
      <c r="AZ147" s="107"/>
      <c r="BA147" s="107"/>
      <c r="BB147" s="107"/>
    </row>
    <row r="148" spans="1:54" ht="17.399999999999999" x14ac:dyDescent="0.3">
      <c r="A148" s="145" t="s">
        <v>790</v>
      </c>
      <c r="B148" s="75"/>
      <c r="C148" s="8"/>
      <c r="D148" s="8"/>
      <c r="E148" s="107"/>
      <c r="F148" s="175"/>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c r="AY148" s="107"/>
      <c r="AZ148" s="107"/>
      <c r="BA148" s="107"/>
      <c r="BB148" s="107"/>
    </row>
    <row r="149" spans="1:54" ht="15" x14ac:dyDescent="0.25">
      <c r="A149" s="143" t="s">
        <v>552</v>
      </c>
      <c r="B149" s="15">
        <v>100</v>
      </c>
      <c r="C149" s="8"/>
      <c r="D149" s="8"/>
      <c r="E149" s="107"/>
      <c r="F149" s="175"/>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c r="AZ149" s="107"/>
      <c r="BA149" s="107"/>
      <c r="BB149" s="107"/>
    </row>
    <row r="150" spans="1:54" ht="15" x14ac:dyDescent="0.25">
      <c r="A150" s="143" t="s">
        <v>555</v>
      </c>
      <c r="B150" s="15">
        <v>100</v>
      </c>
      <c r="C150" s="8"/>
      <c r="D150" s="8"/>
      <c r="E150" s="107"/>
      <c r="F150" s="175"/>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c r="AZ150" s="107"/>
      <c r="BA150" s="107"/>
      <c r="BB150" s="107"/>
    </row>
    <row r="151" spans="1:54" ht="15" x14ac:dyDescent="0.25">
      <c r="A151" s="143" t="s">
        <v>428</v>
      </c>
      <c r="B151" s="15"/>
      <c r="C151" s="8">
        <v>8</v>
      </c>
      <c r="D151" s="8"/>
      <c r="E151" s="107"/>
      <c r="F151" s="175"/>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c r="AZ151" s="107"/>
      <c r="BA151" s="107"/>
      <c r="BB151" s="107"/>
    </row>
    <row r="152" spans="1:54" ht="15" x14ac:dyDescent="0.25">
      <c r="A152" s="143" t="s">
        <v>433</v>
      </c>
      <c r="B152" s="15"/>
      <c r="C152" s="8">
        <v>10</v>
      </c>
      <c r="D152" s="8"/>
      <c r="E152" s="107"/>
      <c r="F152" s="175"/>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c r="AZ152" s="107"/>
      <c r="BA152" s="107"/>
      <c r="BB152" s="107"/>
    </row>
    <row r="153" spans="1:54" ht="15" x14ac:dyDescent="0.25">
      <c r="A153" s="143" t="s">
        <v>438</v>
      </c>
      <c r="B153" s="15">
        <v>10</v>
      </c>
      <c r="C153" s="8">
        <v>13</v>
      </c>
      <c r="D153" s="8"/>
      <c r="E153" s="107"/>
      <c r="F153" s="175"/>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c r="AY153" s="107"/>
      <c r="AZ153" s="107"/>
      <c r="BA153" s="107"/>
      <c r="BB153" s="107"/>
    </row>
    <row r="154" spans="1:54" ht="15" x14ac:dyDescent="0.25">
      <c r="A154" s="143" t="s">
        <v>440</v>
      </c>
      <c r="B154" s="15">
        <v>2</v>
      </c>
      <c r="C154" s="8">
        <v>2</v>
      </c>
      <c r="D154" s="8"/>
      <c r="E154" s="107"/>
      <c r="F154" s="175"/>
      <c r="G154" s="107"/>
      <c r="H154" s="107"/>
      <c r="I154" s="107"/>
      <c r="J154" s="107"/>
      <c r="K154" s="107"/>
      <c r="L154" s="107"/>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c r="AX154" s="107"/>
      <c r="AY154" s="107"/>
      <c r="AZ154" s="107"/>
      <c r="BA154" s="107"/>
      <c r="BB154" s="107"/>
    </row>
    <row r="155" spans="1:54" ht="15" x14ac:dyDescent="0.25">
      <c r="A155" s="143" t="s">
        <v>403</v>
      </c>
      <c r="B155" s="15">
        <v>1</v>
      </c>
      <c r="C155" s="8"/>
      <c r="D155" s="8"/>
      <c r="E155" s="107"/>
      <c r="F155" s="175"/>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c r="AZ155" s="107"/>
      <c r="BA155" s="107"/>
      <c r="BB155" s="107"/>
    </row>
    <row r="156" spans="1:54" ht="15" x14ac:dyDescent="0.25">
      <c r="A156" s="143" t="s">
        <v>509</v>
      </c>
      <c r="B156" s="15">
        <v>5</v>
      </c>
      <c r="C156" s="8"/>
      <c r="D156" s="8"/>
      <c r="E156" s="106"/>
      <c r="F156" s="17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c r="AZ156" s="106"/>
      <c r="BA156" s="106"/>
      <c r="BB156" s="106"/>
    </row>
    <row r="157" spans="1:54" ht="15" x14ac:dyDescent="0.25">
      <c r="A157" s="143" t="s">
        <v>558</v>
      </c>
      <c r="B157" s="15">
        <v>75</v>
      </c>
      <c r="C157" s="8"/>
      <c r="D157" s="8"/>
      <c r="E157" s="107"/>
      <c r="F157" s="175"/>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c r="AZ157" s="107"/>
      <c r="BA157" s="107"/>
      <c r="BB157" s="107"/>
    </row>
    <row r="158" spans="1:54" ht="15" x14ac:dyDescent="0.25">
      <c r="A158" s="143"/>
      <c r="B158" s="15"/>
      <c r="C158" s="8"/>
      <c r="D158" s="8"/>
      <c r="E158" s="107"/>
      <c r="F158" s="175"/>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c r="AY158" s="107"/>
      <c r="AZ158" s="107"/>
      <c r="BA158" s="107"/>
      <c r="BB158" s="107"/>
    </row>
    <row r="159" spans="1:54" ht="17.399999999999999" x14ac:dyDescent="0.3">
      <c r="A159" s="145" t="s">
        <v>791</v>
      </c>
      <c r="B159" s="74"/>
      <c r="C159" s="8"/>
      <c r="D159" s="8"/>
      <c r="E159" s="107"/>
      <c r="F159" s="175"/>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c r="AZ159" s="107"/>
      <c r="BA159" s="107"/>
      <c r="BB159" s="107"/>
    </row>
    <row r="160" spans="1:54" ht="15" x14ac:dyDescent="0.25">
      <c r="A160" s="143" t="s">
        <v>527</v>
      </c>
      <c r="B160" s="15"/>
      <c r="C160" s="8">
        <v>1</v>
      </c>
      <c r="D160" s="8"/>
      <c r="E160" s="107"/>
      <c r="F160" s="175"/>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c r="AZ160" s="107"/>
      <c r="BA160" s="107"/>
      <c r="BB160" s="107"/>
    </row>
    <row r="161" spans="1:54" ht="15" x14ac:dyDescent="0.25">
      <c r="A161" s="143" t="s">
        <v>525</v>
      </c>
      <c r="B161" s="15">
        <v>30</v>
      </c>
      <c r="C161" s="8"/>
      <c r="D161" s="8"/>
      <c r="E161" s="106"/>
      <c r="F161" s="17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c r="AZ161" s="106"/>
      <c r="BA161" s="106"/>
      <c r="BB161" s="106"/>
    </row>
    <row r="162" spans="1:54" ht="15" x14ac:dyDescent="0.25">
      <c r="A162" s="143" t="s">
        <v>526</v>
      </c>
      <c r="B162" s="15">
        <v>100</v>
      </c>
      <c r="C162" s="8">
        <v>100</v>
      </c>
      <c r="D162" s="8"/>
      <c r="E162" s="106"/>
      <c r="F162" s="17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row>
    <row r="163" spans="1:54" ht="15" x14ac:dyDescent="0.25">
      <c r="A163" s="143" t="s">
        <v>537</v>
      </c>
      <c r="B163" s="15">
        <v>200</v>
      </c>
      <c r="C163" s="8"/>
      <c r="D163" s="8"/>
      <c r="E163" s="106"/>
      <c r="F163" s="17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c r="AZ163" s="106"/>
      <c r="BA163" s="106"/>
      <c r="BB163" s="106"/>
    </row>
    <row r="164" spans="1:54" ht="15" x14ac:dyDescent="0.25">
      <c r="A164" s="143" t="s">
        <v>438</v>
      </c>
      <c r="B164" s="15">
        <v>49</v>
      </c>
      <c r="C164" s="8">
        <v>40</v>
      </c>
      <c r="D164" s="8">
        <v>20</v>
      </c>
      <c r="E164" s="106"/>
      <c r="F164" s="17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c r="AZ164" s="106"/>
      <c r="BA164" s="106"/>
      <c r="BB164" s="106"/>
    </row>
    <row r="165" spans="1:54" ht="15" x14ac:dyDescent="0.25">
      <c r="A165" s="143" t="s">
        <v>433</v>
      </c>
      <c r="B165" s="15">
        <v>30</v>
      </c>
      <c r="C165" s="8">
        <v>40</v>
      </c>
      <c r="D165" s="8">
        <v>21</v>
      </c>
      <c r="E165" s="106"/>
      <c r="F165" s="17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row>
    <row r="166" spans="1:54" ht="15" x14ac:dyDescent="0.25">
      <c r="A166" s="143" t="s">
        <v>428</v>
      </c>
      <c r="B166" s="15">
        <v>23</v>
      </c>
      <c r="C166" s="8">
        <v>15</v>
      </c>
      <c r="D166" s="8"/>
      <c r="E166" s="106"/>
      <c r="F166" s="17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row>
    <row r="167" spans="1:54" ht="15" x14ac:dyDescent="0.25">
      <c r="A167" s="143" t="s">
        <v>590</v>
      </c>
      <c r="B167" s="15">
        <v>1</v>
      </c>
      <c r="C167" s="8"/>
      <c r="D167" s="8"/>
      <c r="E167" s="106"/>
      <c r="F167" s="17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row>
    <row r="168" spans="1:54" ht="15" x14ac:dyDescent="0.25">
      <c r="A168" s="143" t="s">
        <v>554</v>
      </c>
      <c r="B168" s="15"/>
      <c r="C168" s="8">
        <v>200</v>
      </c>
      <c r="D168" s="8">
        <v>200</v>
      </c>
      <c r="E168" s="106"/>
      <c r="F168" s="17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c r="AZ168" s="106"/>
      <c r="BA168" s="106"/>
      <c r="BB168" s="106"/>
    </row>
    <row r="169" spans="1:54" ht="15" x14ac:dyDescent="0.25">
      <c r="A169" s="143" t="s">
        <v>412</v>
      </c>
      <c r="B169" s="15">
        <v>4</v>
      </c>
      <c r="C169" s="8">
        <v>7</v>
      </c>
      <c r="D169" s="8">
        <v>5</v>
      </c>
      <c r="E169" s="106"/>
      <c r="F169" s="17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c r="AZ169" s="106"/>
      <c r="BA169" s="106"/>
      <c r="BB169" s="106"/>
    </row>
    <row r="170" spans="1:54" ht="15" x14ac:dyDescent="0.25">
      <c r="A170" s="143" t="s">
        <v>413</v>
      </c>
      <c r="B170" s="15">
        <v>8</v>
      </c>
      <c r="C170" s="8">
        <v>15</v>
      </c>
      <c r="D170" s="8">
        <v>5</v>
      </c>
      <c r="E170" s="106"/>
      <c r="F170" s="17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c r="AZ170" s="106"/>
      <c r="BA170" s="106"/>
      <c r="BB170" s="106"/>
    </row>
    <row r="171" spans="1:54" ht="15" x14ac:dyDescent="0.25">
      <c r="A171" s="143" t="s">
        <v>417</v>
      </c>
      <c r="B171" s="15">
        <v>2</v>
      </c>
      <c r="C171" s="8">
        <v>4</v>
      </c>
      <c r="D171" s="8"/>
      <c r="E171" s="106"/>
      <c r="F171" s="17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c r="AZ171" s="106"/>
      <c r="BA171" s="106"/>
      <c r="BB171" s="106"/>
    </row>
    <row r="172" spans="1:54" ht="15" x14ac:dyDescent="0.25">
      <c r="A172" s="143" t="s">
        <v>419</v>
      </c>
      <c r="B172" s="15">
        <v>3</v>
      </c>
      <c r="C172" s="8">
        <v>10</v>
      </c>
      <c r="D172" s="8"/>
      <c r="E172" s="106"/>
      <c r="F172" s="17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c r="AZ172" s="106"/>
      <c r="BA172" s="106"/>
      <c r="BB172" s="106"/>
    </row>
    <row r="173" spans="1:54" ht="15" x14ac:dyDescent="0.25">
      <c r="A173" s="143" t="s">
        <v>394</v>
      </c>
      <c r="B173" s="15"/>
      <c r="C173" s="8">
        <v>3</v>
      </c>
      <c r="D173" s="8"/>
      <c r="E173" s="106"/>
      <c r="F173" s="17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c r="AZ173" s="106"/>
      <c r="BA173" s="106"/>
      <c r="BB173" s="106"/>
    </row>
    <row r="174" spans="1:54" ht="15" x14ac:dyDescent="0.25">
      <c r="A174" s="143" t="s">
        <v>397</v>
      </c>
      <c r="B174" s="15">
        <v>1</v>
      </c>
      <c r="C174" s="8">
        <v>1</v>
      </c>
      <c r="D174" s="8">
        <v>3</v>
      </c>
      <c r="E174" s="106"/>
      <c r="F174" s="17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c r="AZ174" s="106"/>
      <c r="BA174" s="106"/>
      <c r="BB174" s="106"/>
    </row>
    <row r="175" spans="1:54" ht="15" x14ac:dyDescent="0.25">
      <c r="A175" s="143" t="s">
        <v>395</v>
      </c>
      <c r="B175" s="15">
        <v>1</v>
      </c>
      <c r="C175" s="8"/>
      <c r="D175" s="8"/>
      <c r="E175" s="106"/>
      <c r="F175" s="17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c r="AZ175" s="106"/>
      <c r="BA175" s="106"/>
      <c r="BB175" s="106"/>
    </row>
    <row r="176" spans="1:54" ht="15" x14ac:dyDescent="0.25">
      <c r="A176" s="143" t="s">
        <v>405</v>
      </c>
      <c r="B176" s="15"/>
      <c r="C176" s="8">
        <v>2</v>
      </c>
      <c r="D176" s="8">
        <v>2</v>
      </c>
      <c r="E176" s="107"/>
      <c r="F176" s="175"/>
      <c r="G176" s="107"/>
      <c r="H176" s="107"/>
      <c r="I176" s="107"/>
      <c r="J176" s="107"/>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c r="AX176" s="107"/>
      <c r="AY176" s="107"/>
      <c r="AZ176" s="107"/>
      <c r="BA176" s="107"/>
      <c r="BB176" s="107"/>
    </row>
    <row r="177" spans="1:54" ht="15" x14ac:dyDescent="0.25">
      <c r="A177" s="143" t="s">
        <v>752</v>
      </c>
      <c r="B177" s="15">
        <v>2</v>
      </c>
      <c r="C177" s="8">
        <v>2</v>
      </c>
      <c r="D177" s="8">
        <v>3</v>
      </c>
      <c r="E177" s="107"/>
      <c r="F177" s="175"/>
      <c r="G177" s="107"/>
      <c r="H177" s="107"/>
      <c r="I177" s="107"/>
      <c r="J177" s="107"/>
      <c r="K177" s="107"/>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c r="AR177" s="107"/>
      <c r="AS177" s="107"/>
      <c r="AT177" s="107"/>
      <c r="AU177" s="107"/>
      <c r="AV177" s="107"/>
      <c r="AW177" s="107"/>
      <c r="AX177" s="107"/>
      <c r="AY177" s="107"/>
      <c r="AZ177" s="107"/>
      <c r="BA177" s="107"/>
      <c r="BB177" s="107"/>
    </row>
    <row r="178" spans="1:54" ht="15" x14ac:dyDescent="0.25">
      <c r="A178" s="143" t="s">
        <v>403</v>
      </c>
      <c r="B178" s="15">
        <v>3</v>
      </c>
      <c r="C178" s="8">
        <v>2</v>
      </c>
      <c r="D178" s="8"/>
      <c r="E178" s="107"/>
      <c r="F178" s="175"/>
      <c r="G178" s="107"/>
      <c r="H178" s="107"/>
      <c r="I178" s="107"/>
      <c r="J178" s="107"/>
      <c r="K178" s="107"/>
      <c r="L178" s="107"/>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c r="AR178" s="107"/>
      <c r="AS178" s="107"/>
      <c r="AT178" s="107"/>
      <c r="AU178" s="107"/>
      <c r="AV178" s="107"/>
      <c r="AW178" s="107"/>
      <c r="AX178" s="107"/>
      <c r="AY178" s="107"/>
      <c r="AZ178" s="107"/>
      <c r="BA178" s="107"/>
      <c r="BB178" s="107"/>
    </row>
    <row r="179" spans="1:54" ht="15" x14ac:dyDescent="0.25">
      <c r="A179" s="143" t="s">
        <v>420</v>
      </c>
      <c r="B179" s="15"/>
      <c r="C179" s="8"/>
      <c r="D179" s="8">
        <v>6</v>
      </c>
      <c r="E179" s="107"/>
      <c r="F179" s="175"/>
      <c r="G179" s="107"/>
      <c r="H179" s="107"/>
      <c r="I179" s="107"/>
      <c r="J179" s="107"/>
      <c r="K179" s="107"/>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c r="AX179" s="107"/>
      <c r="AY179" s="107"/>
      <c r="AZ179" s="107"/>
      <c r="BA179" s="107"/>
      <c r="BB179" s="107"/>
    </row>
    <row r="180" spans="1:54" ht="17.399999999999999" x14ac:dyDescent="0.3">
      <c r="A180" s="145" t="s">
        <v>792</v>
      </c>
      <c r="B180" s="74"/>
      <c r="C180" s="8"/>
      <c r="D180" s="8"/>
      <c r="E180" s="107"/>
      <c r="F180" s="175"/>
      <c r="G180" s="107"/>
      <c r="H180" s="107"/>
      <c r="I180" s="107"/>
      <c r="J180" s="107"/>
      <c r="K180" s="107"/>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c r="AX180" s="107"/>
      <c r="AY180" s="107"/>
      <c r="AZ180" s="107"/>
      <c r="BA180" s="107"/>
      <c r="BB180" s="107"/>
    </row>
    <row r="181" spans="1:54" ht="15" x14ac:dyDescent="0.25">
      <c r="A181" s="143" t="s">
        <v>511</v>
      </c>
      <c r="B181" s="15">
        <v>1</v>
      </c>
      <c r="C181" s="8"/>
      <c r="D181" s="8"/>
      <c r="E181" s="106"/>
      <c r="F181" s="17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row>
    <row r="182" spans="1:54" ht="15" x14ac:dyDescent="0.25">
      <c r="A182" s="143" t="s">
        <v>497</v>
      </c>
      <c r="B182" s="15"/>
      <c r="C182" s="8">
        <v>15</v>
      </c>
      <c r="D182" s="8"/>
      <c r="E182" s="106"/>
      <c r="F182" s="17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row>
    <row r="183" spans="1:54" ht="15" x14ac:dyDescent="0.25">
      <c r="A183" s="143" t="s">
        <v>467</v>
      </c>
      <c r="B183" s="15">
        <v>1</v>
      </c>
      <c r="C183" s="8"/>
      <c r="D183" s="8"/>
      <c r="E183" s="106"/>
      <c r="F183" s="17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row>
    <row r="184" spans="1:54" ht="15" x14ac:dyDescent="0.25">
      <c r="A184" s="143" t="s">
        <v>484</v>
      </c>
      <c r="B184" s="15"/>
      <c r="C184" s="8">
        <v>36</v>
      </c>
      <c r="D184" s="8"/>
      <c r="E184" s="106"/>
      <c r="F184" s="17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row>
    <row r="185" spans="1:54" ht="15" x14ac:dyDescent="0.25">
      <c r="A185" s="143" t="s">
        <v>482</v>
      </c>
      <c r="B185" s="15"/>
      <c r="C185" s="8"/>
      <c r="D185" s="8">
        <v>30</v>
      </c>
      <c r="E185" s="106"/>
      <c r="F185" s="13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row>
    <row r="186" spans="1:54" ht="15" x14ac:dyDescent="0.25">
      <c r="A186" s="143" t="s">
        <v>576</v>
      </c>
      <c r="B186" s="15"/>
      <c r="C186" s="8"/>
      <c r="D186" s="8">
        <v>50</v>
      </c>
      <c r="E186" s="106"/>
      <c r="F186" s="13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row>
    <row r="187" spans="1:54" ht="15" x14ac:dyDescent="0.25">
      <c r="A187" s="143"/>
      <c r="B187" s="15"/>
      <c r="C187" s="8"/>
      <c r="D187" s="8"/>
      <c r="E187" s="107"/>
      <c r="F187" s="137"/>
      <c r="G187" s="107"/>
      <c r="H187" s="107"/>
      <c r="I187" s="107"/>
      <c r="J187" s="107"/>
      <c r="K187" s="107"/>
      <c r="L187" s="107"/>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c r="AR187" s="107"/>
      <c r="AS187" s="107"/>
      <c r="AT187" s="107"/>
      <c r="AU187" s="107"/>
      <c r="AV187" s="107"/>
      <c r="AW187" s="107"/>
      <c r="AX187" s="107"/>
      <c r="AY187" s="107"/>
      <c r="AZ187" s="107"/>
      <c r="BA187" s="107"/>
      <c r="BB187" s="107"/>
    </row>
    <row r="188" spans="1:54" ht="15" x14ac:dyDescent="0.25">
      <c r="A188" s="143"/>
      <c r="B188" s="15"/>
      <c r="C188" s="8"/>
      <c r="D188" s="8"/>
      <c r="E188" s="107"/>
      <c r="F188" s="137"/>
      <c r="G188" s="107"/>
      <c r="H188" s="107"/>
      <c r="I188" s="107"/>
      <c r="J188" s="107"/>
      <c r="K188" s="107"/>
      <c r="L188" s="107"/>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c r="AR188" s="107"/>
      <c r="AS188" s="107"/>
      <c r="AT188" s="107"/>
      <c r="AU188" s="107"/>
      <c r="AV188" s="107"/>
      <c r="AW188" s="107"/>
      <c r="AX188" s="107"/>
      <c r="AY188" s="107"/>
      <c r="AZ188" s="107"/>
      <c r="BA188" s="107"/>
      <c r="BB188" s="107"/>
    </row>
    <row r="189" spans="1:54" ht="15" x14ac:dyDescent="0.25">
      <c r="A189" s="143"/>
      <c r="B189" s="15"/>
      <c r="C189" s="8"/>
      <c r="D189" s="8"/>
      <c r="E189" s="107"/>
      <c r="F189" s="137"/>
      <c r="G189" s="107"/>
      <c r="H189" s="107"/>
      <c r="I189" s="107"/>
      <c r="J189" s="107"/>
      <c r="K189" s="107"/>
      <c r="L189" s="107"/>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c r="AX189" s="107"/>
      <c r="AY189" s="107"/>
      <c r="AZ189" s="107"/>
      <c r="BA189" s="107"/>
      <c r="BB189" s="107"/>
    </row>
    <row r="190" spans="1:54" ht="17.399999999999999" x14ac:dyDescent="0.3">
      <c r="A190" s="146" t="s">
        <v>793</v>
      </c>
      <c r="B190" s="74"/>
      <c r="C190" s="8"/>
      <c r="D190" s="8"/>
      <c r="E190" s="107"/>
      <c r="F190" s="137"/>
      <c r="G190" s="107"/>
      <c r="H190" s="107"/>
      <c r="I190" s="107"/>
      <c r="J190" s="107"/>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c r="AX190" s="107"/>
      <c r="AY190" s="107"/>
      <c r="AZ190" s="107"/>
      <c r="BA190" s="107"/>
      <c r="BB190" s="107"/>
    </row>
    <row r="191" spans="1:54" ht="15" x14ac:dyDescent="0.25">
      <c r="A191" s="147" t="s">
        <v>399</v>
      </c>
      <c r="B191" s="15">
        <v>3</v>
      </c>
      <c r="C191" s="8">
        <v>3</v>
      </c>
      <c r="D191" s="8"/>
      <c r="E191" s="107"/>
      <c r="F191" s="137"/>
      <c r="G191" s="107"/>
      <c r="H191" s="107"/>
      <c r="I191" s="107"/>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c r="AR191" s="107"/>
      <c r="AS191" s="107"/>
      <c r="AT191" s="107"/>
      <c r="AU191" s="107"/>
      <c r="AV191" s="107"/>
      <c r="AW191" s="107"/>
      <c r="AX191" s="107"/>
      <c r="AY191" s="107"/>
      <c r="AZ191" s="107"/>
      <c r="BA191" s="107"/>
      <c r="BB191" s="107"/>
    </row>
    <row r="192" spans="1:54" ht="15" x14ac:dyDescent="0.25">
      <c r="A192" s="143" t="s">
        <v>400</v>
      </c>
      <c r="B192" s="15">
        <v>2</v>
      </c>
      <c r="C192" s="8">
        <v>2</v>
      </c>
      <c r="D192" s="8"/>
      <c r="E192" s="107"/>
      <c r="F192" s="137"/>
      <c r="G192" s="107"/>
      <c r="H192" s="107"/>
      <c r="I192" s="107"/>
      <c r="J192" s="107"/>
      <c r="K192" s="107"/>
      <c r="L192" s="107"/>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c r="AR192" s="107"/>
      <c r="AS192" s="107"/>
      <c r="AT192" s="107"/>
      <c r="AU192" s="107"/>
      <c r="AV192" s="107"/>
      <c r="AW192" s="107"/>
      <c r="AX192" s="107"/>
      <c r="AY192" s="107"/>
      <c r="AZ192" s="107"/>
      <c r="BA192" s="107"/>
      <c r="BB192" s="107"/>
    </row>
    <row r="193" spans="1:54" ht="15" x14ac:dyDescent="0.25">
      <c r="A193" s="143" t="s">
        <v>401</v>
      </c>
      <c r="B193" s="15">
        <v>1</v>
      </c>
      <c r="C193" s="8"/>
      <c r="D193" s="8"/>
      <c r="E193" s="107"/>
      <c r="F193" s="137"/>
      <c r="G193" s="107"/>
      <c r="H193" s="107"/>
      <c r="I193" s="107"/>
      <c r="J193" s="107"/>
      <c r="K193" s="107"/>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c r="AZ193" s="107"/>
      <c r="BA193" s="107"/>
      <c r="BB193" s="107"/>
    </row>
    <row r="194" spans="1:54" ht="15" x14ac:dyDescent="0.25">
      <c r="A194" s="143" t="s">
        <v>403</v>
      </c>
      <c r="B194" s="15">
        <v>2</v>
      </c>
      <c r="C194" s="8"/>
      <c r="D194" s="8"/>
      <c r="E194" s="107"/>
      <c r="F194" s="137"/>
      <c r="G194" s="107"/>
      <c r="H194" s="107"/>
      <c r="I194" s="107"/>
      <c r="J194" s="107"/>
      <c r="K194" s="107"/>
      <c r="L194" s="107"/>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c r="AR194" s="107"/>
      <c r="AS194" s="107"/>
      <c r="AT194" s="107"/>
      <c r="AU194" s="107"/>
      <c r="AV194" s="107"/>
      <c r="AW194" s="107"/>
      <c r="AX194" s="107"/>
      <c r="AY194" s="107"/>
      <c r="AZ194" s="107"/>
      <c r="BA194" s="107"/>
      <c r="BB194" s="107"/>
    </row>
    <row r="195" spans="1:54" ht="15" x14ac:dyDescent="0.25">
      <c r="A195" s="143" t="s">
        <v>417</v>
      </c>
      <c r="B195" s="15">
        <v>4</v>
      </c>
      <c r="C195" s="8">
        <v>4</v>
      </c>
      <c r="D195" s="8"/>
      <c r="E195" s="106"/>
      <c r="F195" s="13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c r="AZ195" s="106"/>
      <c r="BA195" s="106"/>
      <c r="BB195" s="106"/>
    </row>
    <row r="196" spans="1:54" ht="15" x14ac:dyDescent="0.25">
      <c r="A196" s="143"/>
      <c r="B196" s="15"/>
      <c r="C196" s="8"/>
      <c r="D196" s="8"/>
      <c r="E196" s="107"/>
      <c r="F196" s="137"/>
      <c r="G196" s="107"/>
      <c r="H196" s="107"/>
      <c r="I196" s="107"/>
      <c r="J196" s="107"/>
      <c r="K196" s="107"/>
      <c r="L196" s="107"/>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c r="AR196" s="107"/>
      <c r="AS196" s="107"/>
      <c r="AT196" s="107"/>
      <c r="AU196" s="107"/>
      <c r="AV196" s="107"/>
      <c r="AW196" s="107"/>
      <c r="AX196" s="107"/>
      <c r="AY196" s="107"/>
      <c r="AZ196" s="107"/>
      <c r="BA196" s="107"/>
      <c r="BB196" s="107"/>
    </row>
    <row r="197" spans="1:54" ht="17.399999999999999" x14ac:dyDescent="0.3">
      <c r="A197" s="145" t="s">
        <v>794</v>
      </c>
      <c r="B197" s="74"/>
      <c r="C197" s="8"/>
      <c r="D197" s="8"/>
      <c r="E197" s="107"/>
      <c r="F197" s="137"/>
      <c r="G197" s="107"/>
      <c r="H197" s="107"/>
      <c r="I197" s="107"/>
      <c r="J197" s="107"/>
      <c r="K197" s="107"/>
      <c r="L197" s="107"/>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c r="AS197" s="107"/>
      <c r="AT197" s="107"/>
      <c r="AU197" s="107"/>
      <c r="AV197" s="107"/>
      <c r="AW197" s="107"/>
      <c r="AX197" s="107"/>
      <c r="AY197" s="107"/>
      <c r="AZ197" s="107"/>
      <c r="BA197" s="107"/>
      <c r="BB197" s="107"/>
    </row>
    <row r="198" spans="1:54" ht="15" x14ac:dyDescent="0.25">
      <c r="A198" s="143" t="s">
        <v>523</v>
      </c>
      <c r="B198" s="15">
        <v>60</v>
      </c>
      <c r="C198" s="8">
        <v>64</v>
      </c>
      <c r="D198" s="8"/>
      <c r="E198" s="107"/>
      <c r="F198" s="137"/>
      <c r="G198" s="107"/>
      <c r="H198" s="107"/>
      <c r="I198" s="107"/>
      <c r="J198" s="107"/>
      <c r="K198" s="107"/>
      <c r="L198" s="107"/>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c r="AR198" s="107"/>
      <c r="AS198" s="107"/>
      <c r="AT198" s="107"/>
      <c r="AU198" s="107"/>
      <c r="AV198" s="107"/>
      <c r="AW198" s="107"/>
      <c r="AX198" s="107"/>
      <c r="AY198" s="107"/>
      <c r="AZ198" s="107"/>
      <c r="BA198" s="107"/>
      <c r="BB198" s="107"/>
    </row>
    <row r="199" spans="1:54" ht="15" x14ac:dyDescent="0.25">
      <c r="A199" s="143" t="s">
        <v>588</v>
      </c>
      <c r="B199" s="15">
        <v>1</v>
      </c>
      <c r="C199" s="8"/>
      <c r="D199" s="8"/>
      <c r="E199" s="107"/>
      <c r="F199" s="137"/>
      <c r="G199" s="107"/>
      <c r="H199" s="107"/>
      <c r="I199" s="107"/>
      <c r="J199" s="107"/>
      <c r="K199" s="107"/>
      <c r="L199" s="107"/>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c r="AS199" s="107"/>
      <c r="AT199" s="107"/>
      <c r="AU199" s="107"/>
      <c r="AV199" s="107"/>
      <c r="AW199" s="107"/>
      <c r="AX199" s="107"/>
      <c r="AY199" s="107"/>
      <c r="AZ199" s="107"/>
      <c r="BA199" s="107"/>
      <c r="BB199" s="107"/>
    </row>
    <row r="200" spans="1:54" ht="15" x14ac:dyDescent="0.25">
      <c r="A200" s="143" t="s">
        <v>587</v>
      </c>
      <c r="B200" s="15"/>
      <c r="C200" s="8">
        <v>1</v>
      </c>
      <c r="D200" s="8"/>
      <c r="E200" s="107"/>
      <c r="F200" s="137"/>
      <c r="G200" s="107"/>
      <c r="H200" s="107"/>
      <c r="I200" s="107"/>
      <c r="J200" s="107"/>
      <c r="K200" s="107"/>
      <c r="L200" s="107"/>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c r="AS200" s="107"/>
      <c r="AT200" s="107"/>
      <c r="AU200" s="107"/>
      <c r="AV200" s="107"/>
      <c r="AW200" s="107"/>
      <c r="AX200" s="107"/>
      <c r="AY200" s="107"/>
      <c r="AZ200" s="107"/>
      <c r="BA200" s="107"/>
      <c r="BB200" s="107"/>
    </row>
    <row r="201" spans="1:54" ht="15" x14ac:dyDescent="0.25">
      <c r="A201" s="143" t="s">
        <v>481</v>
      </c>
      <c r="B201" s="15"/>
      <c r="C201" s="8">
        <v>5</v>
      </c>
      <c r="D201" s="8"/>
      <c r="E201" s="107"/>
      <c r="F201" s="137"/>
      <c r="G201" s="107"/>
      <c r="H201" s="107"/>
      <c r="I201" s="107"/>
      <c r="J201" s="107"/>
      <c r="K201" s="107"/>
      <c r="L201" s="107"/>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c r="AS201" s="107"/>
      <c r="AT201" s="107"/>
      <c r="AU201" s="107"/>
      <c r="AV201" s="107"/>
      <c r="AW201" s="107"/>
      <c r="AX201" s="107"/>
      <c r="AY201" s="107"/>
      <c r="AZ201" s="107"/>
      <c r="BA201" s="107"/>
      <c r="BB201" s="107"/>
    </row>
    <row r="202" spans="1:54" ht="15" x14ac:dyDescent="0.25">
      <c r="A202" s="143" t="s">
        <v>591</v>
      </c>
      <c r="B202" s="15">
        <v>1</v>
      </c>
      <c r="C202" s="8"/>
      <c r="D202" s="8"/>
      <c r="E202" s="107"/>
      <c r="F202" s="137"/>
      <c r="G202" s="107"/>
      <c r="H202" s="107"/>
      <c r="I202" s="107"/>
      <c r="J202" s="107"/>
      <c r="K202" s="107"/>
      <c r="L202" s="107"/>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c r="AS202" s="107"/>
      <c r="AT202" s="107"/>
      <c r="AU202" s="107"/>
      <c r="AV202" s="107"/>
      <c r="AW202" s="107"/>
      <c r="AX202" s="107"/>
      <c r="AY202" s="107"/>
      <c r="AZ202" s="107"/>
      <c r="BA202" s="107"/>
      <c r="BB202" s="107"/>
    </row>
    <row r="203" spans="1:54" ht="15" x14ac:dyDescent="0.25">
      <c r="A203" s="143"/>
      <c r="B203" s="15"/>
      <c r="C203" s="8"/>
      <c r="D203" s="8"/>
      <c r="E203" s="106"/>
      <c r="F203" s="13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row>
    <row r="204" spans="1:54" ht="15" x14ac:dyDescent="0.25">
      <c r="A204" s="143"/>
      <c r="B204" s="15"/>
      <c r="C204" s="8"/>
      <c r="D204" s="8"/>
      <c r="E204" s="107"/>
      <c r="F204" s="137"/>
      <c r="G204" s="107"/>
      <c r="H204" s="107"/>
      <c r="I204" s="107"/>
      <c r="J204" s="107"/>
      <c r="K204" s="107"/>
      <c r="L204" s="107"/>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c r="AS204" s="107"/>
      <c r="AT204" s="107"/>
      <c r="AU204" s="107"/>
      <c r="AV204" s="107"/>
      <c r="AW204" s="107"/>
      <c r="AX204" s="107"/>
      <c r="AY204" s="107"/>
      <c r="AZ204" s="107"/>
      <c r="BA204" s="107"/>
      <c r="BB204" s="107"/>
    </row>
    <row r="205" spans="1:54" ht="17.399999999999999" x14ac:dyDescent="0.3">
      <c r="A205" s="148" t="s">
        <v>795</v>
      </c>
      <c r="B205" s="85"/>
      <c r="C205" s="8"/>
      <c r="D205" s="8"/>
      <c r="E205" s="107"/>
      <c r="F205" s="137"/>
      <c r="G205" s="107"/>
      <c r="H205" s="107"/>
      <c r="I205" s="107"/>
      <c r="J205" s="107"/>
      <c r="K205" s="107"/>
      <c r="L205" s="107"/>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c r="AR205" s="107"/>
      <c r="AS205" s="107"/>
      <c r="AT205" s="107"/>
      <c r="AU205" s="107"/>
      <c r="AV205" s="107"/>
      <c r="AW205" s="107"/>
      <c r="AX205" s="107"/>
      <c r="AY205" s="107"/>
      <c r="AZ205" s="107"/>
      <c r="BA205" s="107"/>
      <c r="BB205" s="107"/>
    </row>
    <row r="206" spans="1:54" ht="17.399999999999999" x14ac:dyDescent="0.3">
      <c r="A206" s="149" t="s">
        <v>396</v>
      </c>
      <c r="B206" s="105">
        <v>2</v>
      </c>
      <c r="C206" s="8"/>
      <c r="D206" s="8"/>
      <c r="E206" s="107"/>
      <c r="F206" s="137"/>
      <c r="G206" s="107"/>
      <c r="H206" s="107"/>
      <c r="I206" s="107"/>
      <c r="J206" s="107"/>
      <c r="K206" s="107"/>
      <c r="L206" s="107"/>
      <c r="M206" s="107"/>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c r="AI206" s="107"/>
      <c r="AJ206" s="107"/>
      <c r="AK206" s="107"/>
      <c r="AL206" s="107"/>
      <c r="AM206" s="107"/>
      <c r="AN206" s="107"/>
      <c r="AO206" s="107"/>
      <c r="AP206" s="107"/>
      <c r="AQ206" s="107"/>
      <c r="AR206" s="107"/>
      <c r="AS206" s="107"/>
      <c r="AT206" s="107"/>
      <c r="AU206" s="107"/>
      <c r="AV206" s="107"/>
      <c r="AW206" s="107"/>
      <c r="AX206" s="107"/>
      <c r="AY206" s="107"/>
      <c r="AZ206" s="107"/>
      <c r="BA206" s="107"/>
      <c r="BB206" s="107"/>
    </row>
    <row r="207" spans="1:54" ht="17.399999999999999" x14ac:dyDescent="0.3">
      <c r="A207" s="149" t="s">
        <v>595</v>
      </c>
      <c r="B207" s="105">
        <v>1</v>
      </c>
      <c r="C207" s="8">
        <v>2</v>
      </c>
      <c r="D207" s="8">
        <v>1</v>
      </c>
      <c r="E207" s="107"/>
      <c r="F207" s="137"/>
      <c r="G207" s="107"/>
      <c r="H207" s="107"/>
      <c r="I207" s="107"/>
      <c r="J207" s="107"/>
      <c r="K207" s="107"/>
      <c r="L207" s="107"/>
      <c r="M207" s="107"/>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c r="AI207" s="107"/>
      <c r="AJ207" s="107"/>
      <c r="AK207" s="107"/>
      <c r="AL207" s="107"/>
      <c r="AM207" s="107"/>
      <c r="AN207" s="107"/>
      <c r="AO207" s="107"/>
      <c r="AP207" s="107"/>
      <c r="AQ207" s="107"/>
      <c r="AR207" s="107"/>
      <c r="AS207" s="107"/>
      <c r="AT207" s="107"/>
      <c r="AU207" s="107"/>
      <c r="AV207" s="107"/>
      <c r="AW207" s="107"/>
      <c r="AX207" s="107"/>
      <c r="AY207" s="107"/>
      <c r="AZ207" s="107"/>
      <c r="BA207" s="107"/>
      <c r="BB207" s="107"/>
    </row>
    <row r="208" spans="1:54" ht="15" x14ac:dyDescent="0.25">
      <c r="A208" s="143" t="s">
        <v>588</v>
      </c>
      <c r="B208" s="15">
        <v>2</v>
      </c>
      <c r="C208" s="8">
        <v>2</v>
      </c>
      <c r="D208" s="8">
        <v>2</v>
      </c>
      <c r="E208" s="107"/>
      <c r="F208" s="137"/>
      <c r="G208" s="107"/>
      <c r="H208" s="107"/>
      <c r="I208" s="107"/>
      <c r="J208" s="107"/>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107"/>
      <c r="AH208" s="107"/>
      <c r="AI208" s="107"/>
      <c r="AJ208" s="107"/>
      <c r="AK208" s="107"/>
      <c r="AL208" s="107"/>
      <c r="AM208" s="107"/>
      <c r="AN208" s="107"/>
      <c r="AO208" s="107"/>
      <c r="AP208" s="107"/>
      <c r="AQ208" s="107"/>
      <c r="AR208" s="107"/>
      <c r="AS208" s="107"/>
      <c r="AT208" s="107"/>
      <c r="AU208" s="107"/>
      <c r="AV208" s="107"/>
      <c r="AW208" s="107"/>
      <c r="AX208" s="107"/>
      <c r="AY208" s="107"/>
      <c r="AZ208" s="107"/>
      <c r="BA208" s="107"/>
      <c r="BB208" s="107"/>
    </row>
    <row r="209" spans="1:54" ht="15" x14ac:dyDescent="0.25">
      <c r="A209" s="143" t="s">
        <v>590</v>
      </c>
      <c r="B209" s="15">
        <v>1</v>
      </c>
      <c r="C209" s="8"/>
      <c r="D209" s="8"/>
      <c r="E209" s="106"/>
      <c r="F209" s="13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row>
    <row r="210" spans="1:54" ht="15" x14ac:dyDescent="0.25">
      <c r="A210" s="143" t="s">
        <v>587</v>
      </c>
      <c r="B210" s="15"/>
      <c r="C210" s="8">
        <v>1</v>
      </c>
      <c r="D210" s="8"/>
      <c r="E210" s="107"/>
      <c r="F210" s="137"/>
      <c r="G210" s="107"/>
      <c r="H210" s="107"/>
      <c r="I210" s="107"/>
      <c r="J210" s="107"/>
      <c r="K210" s="107"/>
      <c r="L210" s="107"/>
      <c r="M210" s="107"/>
      <c r="N210" s="107"/>
      <c r="O210" s="107"/>
      <c r="P210" s="107"/>
      <c r="Q210" s="107"/>
      <c r="R210" s="107"/>
      <c r="S210" s="107"/>
      <c r="T210" s="107"/>
      <c r="U210" s="107"/>
      <c r="V210" s="107"/>
      <c r="W210" s="107"/>
      <c r="X210" s="107"/>
      <c r="Y210" s="107"/>
      <c r="Z210" s="107"/>
      <c r="AA210" s="107"/>
      <c r="AB210" s="107"/>
      <c r="AC210" s="107"/>
      <c r="AD210" s="107"/>
      <c r="AE210" s="107"/>
      <c r="AF210" s="107"/>
      <c r="AG210" s="107"/>
      <c r="AH210" s="107"/>
      <c r="AI210" s="107"/>
      <c r="AJ210" s="107"/>
      <c r="AK210" s="107"/>
      <c r="AL210" s="107"/>
      <c r="AM210" s="107"/>
      <c r="AN210" s="107"/>
      <c r="AO210" s="107"/>
      <c r="AP210" s="107"/>
      <c r="AQ210" s="107"/>
      <c r="AR210" s="107"/>
      <c r="AS210" s="107"/>
      <c r="AT210" s="107"/>
      <c r="AU210" s="107"/>
      <c r="AV210" s="107"/>
      <c r="AW210" s="107"/>
      <c r="AX210" s="107"/>
      <c r="AY210" s="107"/>
      <c r="AZ210" s="107"/>
      <c r="BA210" s="107"/>
      <c r="BB210" s="107"/>
    </row>
    <row r="211" spans="1:54" ht="15" x14ac:dyDescent="0.25">
      <c r="A211" s="143" t="s">
        <v>459</v>
      </c>
      <c r="B211" s="15">
        <v>13</v>
      </c>
      <c r="C211" s="8">
        <v>10</v>
      </c>
      <c r="D211" s="8">
        <v>3</v>
      </c>
      <c r="E211" s="107"/>
      <c r="F211" s="137"/>
      <c r="G211" s="107"/>
      <c r="H211" s="107"/>
      <c r="I211" s="107"/>
      <c r="J211" s="107"/>
      <c r="K211" s="107"/>
      <c r="L211" s="107"/>
      <c r="M211" s="107"/>
      <c r="N211" s="107"/>
      <c r="O211" s="107"/>
      <c r="P211" s="107"/>
      <c r="Q211" s="107"/>
      <c r="R211" s="107"/>
      <c r="S211" s="107"/>
      <c r="T211" s="107"/>
      <c r="U211" s="107"/>
      <c r="V211" s="107"/>
      <c r="W211" s="107"/>
      <c r="X211" s="107"/>
      <c r="Y211" s="107"/>
      <c r="Z211" s="107"/>
      <c r="AA211" s="107"/>
      <c r="AB211" s="107"/>
      <c r="AC211" s="107"/>
      <c r="AD211" s="107"/>
      <c r="AE211" s="107"/>
      <c r="AF211" s="107"/>
      <c r="AG211" s="107"/>
      <c r="AH211" s="107"/>
      <c r="AI211" s="107"/>
      <c r="AJ211" s="107"/>
      <c r="AK211" s="107"/>
      <c r="AL211" s="107"/>
      <c r="AM211" s="107"/>
      <c r="AN211" s="107"/>
      <c r="AO211" s="107"/>
      <c r="AP211" s="107"/>
      <c r="AQ211" s="107"/>
      <c r="AR211" s="107"/>
      <c r="AS211" s="107"/>
      <c r="AT211" s="107"/>
      <c r="AU211" s="107"/>
      <c r="AV211" s="107"/>
      <c r="AW211" s="107"/>
      <c r="AX211" s="107"/>
      <c r="AY211" s="107"/>
      <c r="AZ211" s="107"/>
      <c r="BA211" s="107"/>
      <c r="BB211" s="107"/>
    </row>
    <row r="212" spans="1:54" ht="15" x14ac:dyDescent="0.25">
      <c r="A212" s="143" t="s">
        <v>460</v>
      </c>
      <c r="B212" s="15"/>
      <c r="C212" s="8"/>
      <c r="D212" s="8">
        <v>2</v>
      </c>
      <c r="E212" s="107"/>
      <c r="F212" s="137"/>
      <c r="G212" s="107"/>
      <c r="H212" s="107"/>
      <c r="I212" s="107"/>
      <c r="J212" s="107"/>
      <c r="K212" s="107"/>
      <c r="L212" s="107"/>
      <c r="M212" s="107"/>
      <c r="N212" s="107"/>
      <c r="O212" s="107"/>
      <c r="P212" s="107"/>
      <c r="Q212" s="107"/>
      <c r="R212" s="107"/>
      <c r="S212" s="107"/>
      <c r="T212" s="107"/>
      <c r="U212" s="107"/>
      <c r="V212" s="107"/>
      <c r="W212" s="107"/>
      <c r="X212" s="107"/>
      <c r="Y212" s="107"/>
      <c r="Z212" s="107"/>
      <c r="AA212" s="107"/>
      <c r="AB212" s="107"/>
      <c r="AC212" s="107"/>
      <c r="AD212" s="107"/>
      <c r="AE212" s="107"/>
      <c r="AF212" s="107"/>
      <c r="AG212" s="107"/>
      <c r="AH212" s="107"/>
      <c r="AI212" s="107"/>
      <c r="AJ212" s="107"/>
      <c r="AK212" s="107"/>
      <c r="AL212" s="107"/>
      <c r="AM212" s="107"/>
      <c r="AN212" s="107"/>
      <c r="AO212" s="107"/>
      <c r="AP212" s="107"/>
      <c r="AQ212" s="107"/>
      <c r="AR212" s="107"/>
      <c r="AS212" s="107"/>
      <c r="AT212" s="107"/>
      <c r="AU212" s="107"/>
      <c r="AV212" s="107"/>
      <c r="AW212" s="107"/>
      <c r="AX212" s="107"/>
      <c r="AY212" s="107"/>
      <c r="AZ212" s="107"/>
      <c r="BA212" s="107"/>
      <c r="BB212" s="107"/>
    </row>
    <row r="213" spans="1:54" ht="15" x14ac:dyDescent="0.25">
      <c r="A213" s="143" t="s">
        <v>462</v>
      </c>
      <c r="B213" s="15">
        <v>1</v>
      </c>
      <c r="C213" s="8">
        <v>2</v>
      </c>
      <c r="D213" s="8"/>
      <c r="E213" s="107"/>
      <c r="F213" s="137"/>
      <c r="G213" s="107"/>
      <c r="H213" s="107"/>
      <c r="I213" s="107"/>
      <c r="J213" s="107"/>
      <c r="K213" s="107"/>
      <c r="L213" s="107"/>
      <c r="M213" s="107"/>
      <c r="N213" s="107"/>
      <c r="O213" s="107"/>
      <c r="P213" s="107"/>
      <c r="Q213" s="107"/>
      <c r="R213" s="107"/>
      <c r="S213" s="107"/>
      <c r="T213" s="107"/>
      <c r="U213" s="107"/>
      <c r="V213" s="107"/>
      <c r="W213" s="107"/>
      <c r="X213" s="107"/>
      <c r="Y213" s="107"/>
      <c r="Z213" s="107"/>
      <c r="AA213" s="107"/>
      <c r="AB213" s="107"/>
      <c r="AC213" s="107"/>
      <c r="AD213" s="107"/>
      <c r="AE213" s="107"/>
      <c r="AF213" s="107"/>
      <c r="AG213" s="107"/>
      <c r="AH213" s="107"/>
      <c r="AI213" s="107"/>
      <c r="AJ213" s="107"/>
      <c r="AK213" s="107"/>
      <c r="AL213" s="107"/>
      <c r="AM213" s="107"/>
      <c r="AN213" s="107"/>
      <c r="AO213" s="107"/>
      <c r="AP213" s="107"/>
      <c r="AQ213" s="107"/>
      <c r="AR213" s="107"/>
      <c r="AS213" s="107"/>
      <c r="AT213" s="107"/>
      <c r="AU213" s="107"/>
      <c r="AV213" s="107"/>
      <c r="AW213" s="107"/>
      <c r="AX213" s="107"/>
      <c r="AY213" s="107"/>
      <c r="AZ213" s="107"/>
      <c r="BA213" s="107"/>
      <c r="BB213" s="107"/>
    </row>
    <row r="214" spans="1:54" ht="15" x14ac:dyDescent="0.25">
      <c r="A214" s="143" t="s">
        <v>517</v>
      </c>
      <c r="B214" s="15">
        <v>1170</v>
      </c>
      <c r="C214" s="8">
        <v>800</v>
      </c>
      <c r="D214" s="8">
        <v>200</v>
      </c>
      <c r="E214" s="107"/>
      <c r="F214" s="137"/>
      <c r="G214" s="107"/>
      <c r="H214" s="107"/>
      <c r="I214" s="107"/>
      <c r="J214" s="107"/>
      <c r="K214" s="107"/>
      <c r="L214" s="107"/>
      <c r="M214" s="107"/>
      <c r="N214" s="107"/>
      <c r="O214" s="107"/>
      <c r="P214" s="107"/>
      <c r="Q214" s="107"/>
      <c r="R214" s="107"/>
      <c r="S214" s="107"/>
      <c r="T214" s="107"/>
      <c r="U214" s="107"/>
      <c r="V214" s="107"/>
      <c r="W214" s="107"/>
      <c r="X214" s="107"/>
      <c r="Y214" s="107"/>
      <c r="Z214" s="107"/>
      <c r="AA214" s="107"/>
      <c r="AB214" s="107"/>
      <c r="AC214" s="107"/>
      <c r="AD214" s="107"/>
      <c r="AE214" s="107"/>
      <c r="AF214" s="107"/>
      <c r="AG214" s="107"/>
      <c r="AH214" s="107"/>
      <c r="AI214" s="107"/>
      <c r="AJ214" s="107"/>
      <c r="AK214" s="107"/>
      <c r="AL214" s="107"/>
      <c r="AM214" s="107"/>
      <c r="AN214" s="107"/>
      <c r="AO214" s="107"/>
      <c r="AP214" s="107"/>
      <c r="AQ214" s="107"/>
      <c r="AR214" s="107"/>
      <c r="AS214" s="107"/>
      <c r="AT214" s="107"/>
      <c r="AU214" s="107"/>
      <c r="AV214" s="107"/>
      <c r="AW214" s="107"/>
      <c r="AX214" s="107"/>
      <c r="AY214" s="107"/>
      <c r="AZ214" s="107"/>
      <c r="BA214" s="107"/>
      <c r="BB214" s="107"/>
    </row>
    <row r="215" spans="1:54" ht="15" x14ac:dyDescent="0.25">
      <c r="A215" s="143" t="s">
        <v>520</v>
      </c>
      <c r="B215" s="15">
        <v>155</v>
      </c>
      <c r="C215" s="8">
        <v>250</v>
      </c>
      <c r="D215" s="8">
        <v>50</v>
      </c>
      <c r="E215" s="107"/>
      <c r="F215" s="137"/>
      <c r="G215" s="107"/>
      <c r="H215" s="107"/>
      <c r="I215" s="107"/>
      <c r="J215" s="107"/>
      <c r="K215" s="107"/>
      <c r="L215" s="107"/>
      <c r="M215" s="107"/>
      <c r="N215" s="107"/>
      <c r="O215" s="107"/>
      <c r="P215" s="107"/>
      <c r="Q215" s="107"/>
      <c r="R215" s="107"/>
      <c r="S215" s="107"/>
      <c r="T215" s="107"/>
      <c r="U215" s="107"/>
      <c r="V215" s="107"/>
      <c r="W215" s="107"/>
      <c r="X215" s="107"/>
      <c r="Y215" s="107"/>
      <c r="Z215" s="107"/>
      <c r="AA215" s="107"/>
      <c r="AB215" s="107"/>
      <c r="AC215" s="107"/>
      <c r="AD215" s="107"/>
      <c r="AE215" s="107"/>
      <c r="AF215" s="107"/>
      <c r="AG215" s="107"/>
      <c r="AH215" s="107"/>
      <c r="AI215" s="107"/>
      <c r="AJ215" s="107"/>
      <c r="AK215" s="107"/>
      <c r="AL215" s="107"/>
      <c r="AM215" s="107"/>
      <c r="AN215" s="107"/>
      <c r="AO215" s="107"/>
      <c r="AP215" s="107"/>
      <c r="AQ215" s="107"/>
      <c r="AR215" s="107"/>
      <c r="AS215" s="107"/>
      <c r="AT215" s="107"/>
      <c r="AU215" s="107"/>
      <c r="AV215" s="107"/>
      <c r="AW215" s="107"/>
      <c r="AX215" s="107"/>
      <c r="AY215" s="107"/>
      <c r="AZ215" s="107"/>
      <c r="BA215" s="107"/>
      <c r="BB215" s="107"/>
    </row>
    <row r="216" spans="1:54" ht="15" x14ac:dyDescent="0.25">
      <c r="A216" s="143" t="s">
        <v>604</v>
      </c>
      <c r="B216" s="15">
        <v>39</v>
      </c>
      <c r="C216" s="8">
        <v>20</v>
      </c>
      <c r="D216" s="8">
        <v>10</v>
      </c>
      <c r="E216" s="107"/>
      <c r="F216" s="137"/>
      <c r="G216" s="107"/>
      <c r="H216" s="107"/>
      <c r="I216" s="107"/>
      <c r="J216" s="107"/>
      <c r="K216" s="107"/>
      <c r="L216" s="107"/>
      <c r="M216" s="107"/>
      <c r="N216" s="107"/>
      <c r="O216" s="107"/>
      <c r="P216" s="107"/>
      <c r="Q216" s="107"/>
      <c r="R216" s="107"/>
      <c r="S216" s="107"/>
      <c r="T216" s="107"/>
      <c r="U216" s="107"/>
      <c r="V216" s="107"/>
      <c r="W216" s="107"/>
      <c r="X216" s="107"/>
      <c r="Y216" s="107"/>
      <c r="Z216" s="107"/>
      <c r="AA216" s="107"/>
      <c r="AB216" s="107"/>
      <c r="AC216" s="107"/>
      <c r="AD216" s="107"/>
      <c r="AE216" s="107"/>
      <c r="AF216" s="107"/>
      <c r="AG216" s="107"/>
      <c r="AH216" s="107"/>
      <c r="AI216" s="107"/>
      <c r="AJ216" s="107"/>
      <c r="AK216" s="107"/>
      <c r="AL216" s="107"/>
      <c r="AM216" s="107"/>
      <c r="AN216" s="107"/>
      <c r="AO216" s="107"/>
      <c r="AP216" s="107"/>
      <c r="AQ216" s="107"/>
      <c r="AR216" s="107"/>
      <c r="AS216" s="107"/>
      <c r="AT216" s="107"/>
      <c r="AU216" s="107"/>
      <c r="AV216" s="107"/>
      <c r="AW216" s="107"/>
      <c r="AX216" s="107"/>
      <c r="AY216" s="107"/>
      <c r="AZ216" s="107"/>
      <c r="BA216" s="107"/>
      <c r="BB216" s="107"/>
    </row>
    <row r="217" spans="1:54" ht="15" x14ac:dyDescent="0.25">
      <c r="A217" s="143" t="s">
        <v>413</v>
      </c>
      <c r="B217" s="15">
        <v>31</v>
      </c>
      <c r="C217" s="8">
        <v>26</v>
      </c>
      <c r="D217" s="8">
        <v>8</v>
      </c>
      <c r="E217" s="107"/>
      <c r="F217" s="137"/>
      <c r="G217" s="107"/>
      <c r="H217" s="107"/>
      <c r="I217" s="107"/>
      <c r="J217" s="107"/>
      <c r="K217" s="107"/>
      <c r="L217" s="107"/>
      <c r="M217" s="107"/>
      <c r="N217" s="107"/>
      <c r="O217" s="107"/>
      <c r="P217" s="107"/>
      <c r="Q217" s="107"/>
      <c r="R217" s="107"/>
      <c r="S217" s="107"/>
      <c r="T217" s="107"/>
      <c r="U217" s="107"/>
      <c r="V217" s="107"/>
      <c r="W217" s="107"/>
      <c r="X217" s="107"/>
      <c r="Y217" s="107"/>
      <c r="Z217" s="107"/>
      <c r="AA217" s="107"/>
      <c r="AB217" s="107"/>
      <c r="AC217" s="107"/>
      <c r="AD217" s="107"/>
      <c r="AE217" s="107"/>
      <c r="AF217" s="107"/>
      <c r="AG217" s="107"/>
      <c r="AH217" s="107"/>
      <c r="AI217" s="107"/>
      <c r="AJ217" s="107"/>
      <c r="AK217" s="107"/>
      <c r="AL217" s="107"/>
      <c r="AM217" s="107"/>
      <c r="AN217" s="107"/>
      <c r="AO217" s="107"/>
      <c r="AP217" s="107"/>
      <c r="AQ217" s="107"/>
      <c r="AR217" s="107"/>
      <c r="AS217" s="107"/>
      <c r="AT217" s="107"/>
      <c r="AU217" s="107"/>
      <c r="AV217" s="107"/>
      <c r="AW217" s="107"/>
      <c r="AX217" s="107"/>
      <c r="AY217" s="107"/>
      <c r="AZ217" s="107"/>
      <c r="BA217" s="107"/>
      <c r="BB217" s="107"/>
    </row>
    <row r="218" spans="1:54" ht="15" x14ac:dyDescent="0.25">
      <c r="A218" s="143" t="s">
        <v>394</v>
      </c>
      <c r="B218" s="15">
        <v>6</v>
      </c>
      <c r="C218" s="8">
        <v>2</v>
      </c>
      <c r="D218" s="8">
        <v>2</v>
      </c>
      <c r="E218" s="107"/>
      <c r="F218" s="137"/>
      <c r="G218" s="107"/>
      <c r="H218" s="107"/>
      <c r="I218" s="107"/>
      <c r="J218" s="107"/>
      <c r="K218" s="107"/>
      <c r="L218" s="107"/>
      <c r="M218" s="107"/>
      <c r="N218" s="107"/>
      <c r="O218" s="107"/>
      <c r="P218" s="107"/>
      <c r="Q218" s="107"/>
      <c r="R218" s="107"/>
      <c r="S218" s="107"/>
      <c r="T218" s="107"/>
      <c r="U218" s="107"/>
      <c r="V218" s="107"/>
      <c r="W218" s="107"/>
      <c r="X218" s="107"/>
      <c r="Y218" s="107"/>
      <c r="Z218" s="107"/>
      <c r="AA218" s="107"/>
      <c r="AB218" s="107"/>
      <c r="AC218" s="107"/>
      <c r="AD218" s="107"/>
      <c r="AE218" s="107"/>
      <c r="AF218" s="107"/>
      <c r="AG218" s="107"/>
      <c r="AH218" s="107"/>
      <c r="AI218" s="107"/>
      <c r="AJ218" s="107"/>
      <c r="AK218" s="107"/>
      <c r="AL218" s="107"/>
      <c r="AM218" s="107"/>
      <c r="AN218" s="107"/>
      <c r="AO218" s="107"/>
      <c r="AP218" s="107"/>
      <c r="AQ218" s="107"/>
      <c r="AR218" s="107"/>
      <c r="AS218" s="107"/>
      <c r="AT218" s="107"/>
      <c r="AU218" s="107"/>
      <c r="AV218" s="107"/>
      <c r="AW218" s="107"/>
      <c r="AX218" s="107"/>
      <c r="AY218" s="107"/>
      <c r="AZ218" s="107"/>
      <c r="BA218" s="107"/>
      <c r="BB218" s="107"/>
    </row>
    <row r="219" spans="1:54" ht="15" x14ac:dyDescent="0.25">
      <c r="A219" s="143" t="s">
        <v>397</v>
      </c>
      <c r="B219" s="15">
        <v>3</v>
      </c>
      <c r="C219" s="8"/>
      <c r="D219" s="8"/>
      <c r="E219" s="107"/>
      <c r="F219" s="137"/>
      <c r="G219" s="107"/>
      <c r="H219" s="107"/>
      <c r="I219" s="107"/>
      <c r="J219" s="107"/>
      <c r="K219" s="107"/>
      <c r="L219" s="107"/>
      <c r="M219" s="107"/>
      <c r="N219" s="107"/>
      <c r="O219" s="107"/>
      <c r="P219" s="107"/>
      <c r="Q219" s="107"/>
      <c r="R219" s="107"/>
      <c r="S219" s="107"/>
      <c r="T219" s="107"/>
      <c r="U219" s="107"/>
      <c r="V219" s="107"/>
      <c r="W219" s="107"/>
      <c r="X219" s="107"/>
      <c r="Y219" s="107"/>
      <c r="Z219" s="107"/>
      <c r="AA219" s="107"/>
      <c r="AB219" s="107"/>
      <c r="AC219" s="107"/>
      <c r="AD219" s="107"/>
      <c r="AE219" s="107"/>
      <c r="AF219" s="107"/>
      <c r="AG219" s="107"/>
      <c r="AH219" s="107"/>
      <c r="AI219" s="107"/>
      <c r="AJ219" s="107"/>
      <c r="AK219" s="107"/>
      <c r="AL219" s="107"/>
      <c r="AM219" s="107"/>
      <c r="AN219" s="107"/>
      <c r="AO219" s="107"/>
      <c r="AP219" s="107"/>
      <c r="AQ219" s="107"/>
      <c r="AR219" s="107"/>
      <c r="AS219" s="107"/>
      <c r="AT219" s="107"/>
      <c r="AU219" s="107"/>
      <c r="AV219" s="107"/>
      <c r="AW219" s="107"/>
      <c r="AX219" s="107"/>
      <c r="AY219" s="107"/>
      <c r="AZ219" s="107"/>
      <c r="BA219" s="107"/>
      <c r="BB219" s="107"/>
    </row>
    <row r="220" spans="1:54" ht="15" x14ac:dyDescent="0.25">
      <c r="A220" s="143" t="s">
        <v>395</v>
      </c>
      <c r="B220" s="15">
        <v>5</v>
      </c>
      <c r="C220" s="8">
        <v>4</v>
      </c>
      <c r="D220" s="8"/>
      <c r="E220" s="107"/>
      <c r="F220" s="137"/>
      <c r="G220" s="107"/>
      <c r="H220" s="107"/>
      <c r="I220" s="107"/>
      <c r="J220" s="107"/>
      <c r="K220" s="107"/>
      <c r="L220" s="107"/>
      <c r="M220" s="107"/>
      <c r="N220" s="107"/>
      <c r="O220" s="107"/>
      <c r="P220" s="107"/>
      <c r="Q220" s="107"/>
      <c r="R220" s="107"/>
      <c r="S220" s="107"/>
      <c r="T220" s="107"/>
      <c r="U220" s="107"/>
      <c r="V220" s="107"/>
      <c r="W220" s="107"/>
      <c r="X220" s="107"/>
      <c r="Y220" s="107"/>
      <c r="Z220" s="107"/>
      <c r="AA220" s="107"/>
      <c r="AB220" s="107"/>
      <c r="AC220" s="107"/>
      <c r="AD220" s="107"/>
      <c r="AE220" s="107"/>
      <c r="AF220" s="107"/>
      <c r="AG220" s="107"/>
      <c r="AH220" s="107"/>
      <c r="AI220" s="107"/>
      <c r="AJ220" s="107"/>
      <c r="AK220" s="107"/>
      <c r="AL220" s="107"/>
      <c r="AM220" s="107"/>
      <c r="AN220" s="107"/>
      <c r="AO220" s="107"/>
      <c r="AP220" s="107"/>
      <c r="AQ220" s="107"/>
      <c r="AR220" s="107"/>
      <c r="AS220" s="107"/>
      <c r="AT220" s="107"/>
      <c r="AU220" s="107"/>
      <c r="AV220" s="107"/>
      <c r="AW220" s="107"/>
      <c r="AX220" s="107"/>
      <c r="AY220" s="107"/>
      <c r="AZ220" s="107"/>
      <c r="BA220" s="107"/>
      <c r="BB220" s="107"/>
    </row>
    <row r="221" spans="1:54" ht="15" x14ac:dyDescent="0.25">
      <c r="A221" s="143" t="s">
        <v>405</v>
      </c>
      <c r="B221" s="15">
        <v>11</v>
      </c>
      <c r="C221" s="8">
        <v>5</v>
      </c>
      <c r="D221" s="8">
        <v>3</v>
      </c>
      <c r="E221" s="107"/>
      <c r="F221" s="137"/>
      <c r="G221" s="107"/>
      <c r="H221" s="107"/>
      <c r="I221" s="107"/>
      <c r="J221" s="107"/>
      <c r="K221" s="107"/>
      <c r="L221" s="107"/>
      <c r="M221" s="107"/>
      <c r="N221" s="107"/>
      <c r="O221" s="107"/>
      <c r="P221" s="107"/>
      <c r="Q221" s="107"/>
      <c r="R221" s="107"/>
      <c r="S221" s="107"/>
      <c r="T221" s="107"/>
      <c r="U221" s="107"/>
      <c r="V221" s="107"/>
      <c r="W221" s="107"/>
      <c r="X221" s="107"/>
      <c r="Y221" s="107"/>
      <c r="Z221" s="107"/>
      <c r="AA221" s="107"/>
      <c r="AB221" s="107"/>
      <c r="AC221" s="107"/>
      <c r="AD221" s="107"/>
      <c r="AE221" s="107"/>
      <c r="AF221" s="107"/>
      <c r="AG221" s="107"/>
      <c r="AH221" s="107"/>
      <c r="AI221" s="107"/>
      <c r="AJ221" s="107"/>
      <c r="AK221" s="107"/>
      <c r="AL221" s="107"/>
      <c r="AM221" s="107"/>
      <c r="AN221" s="107"/>
      <c r="AO221" s="107"/>
      <c r="AP221" s="107"/>
      <c r="AQ221" s="107"/>
      <c r="AR221" s="107"/>
      <c r="AS221" s="107"/>
      <c r="AT221" s="107"/>
      <c r="AU221" s="107"/>
      <c r="AV221" s="107"/>
      <c r="AW221" s="107"/>
      <c r="AX221" s="107"/>
      <c r="AY221" s="107"/>
      <c r="AZ221" s="107"/>
      <c r="BA221" s="107"/>
      <c r="BB221" s="107"/>
    </row>
    <row r="222" spans="1:54" ht="15" x14ac:dyDescent="0.25">
      <c r="A222" s="143" t="s">
        <v>752</v>
      </c>
      <c r="B222" s="15">
        <v>3</v>
      </c>
      <c r="C222" s="8"/>
      <c r="D222" s="8">
        <v>1</v>
      </c>
      <c r="E222" s="107"/>
      <c r="F222" s="137"/>
      <c r="G222" s="107"/>
      <c r="H222" s="107"/>
      <c r="I222" s="107"/>
      <c r="J222" s="107"/>
      <c r="K222" s="107"/>
      <c r="L222" s="107"/>
      <c r="M222" s="107"/>
      <c r="N222" s="107"/>
      <c r="O222" s="107"/>
      <c r="P222" s="107"/>
      <c r="Q222" s="107"/>
      <c r="R222" s="107"/>
      <c r="S222" s="107"/>
      <c r="T222" s="107"/>
      <c r="U222" s="107"/>
      <c r="V222" s="107"/>
      <c r="W222" s="107"/>
      <c r="X222" s="107"/>
      <c r="Y222" s="107"/>
      <c r="Z222" s="107"/>
      <c r="AA222" s="107"/>
      <c r="AB222" s="107"/>
      <c r="AC222" s="107"/>
      <c r="AD222" s="107"/>
      <c r="AE222" s="107"/>
      <c r="AF222" s="107"/>
      <c r="AG222" s="107"/>
      <c r="AH222" s="107"/>
      <c r="AI222" s="107"/>
      <c r="AJ222" s="107"/>
      <c r="AK222" s="107"/>
      <c r="AL222" s="107"/>
      <c r="AM222" s="107"/>
      <c r="AN222" s="107"/>
      <c r="AO222" s="107"/>
      <c r="AP222" s="107"/>
      <c r="AQ222" s="107"/>
      <c r="AR222" s="107"/>
      <c r="AS222" s="107"/>
      <c r="AT222" s="107"/>
      <c r="AU222" s="107"/>
      <c r="AV222" s="107"/>
      <c r="AW222" s="107"/>
      <c r="AX222" s="107"/>
      <c r="AY222" s="107"/>
      <c r="AZ222" s="107"/>
      <c r="BA222" s="107"/>
      <c r="BB222" s="107"/>
    </row>
    <row r="223" spans="1:54" ht="15" x14ac:dyDescent="0.25">
      <c r="A223" s="143" t="s">
        <v>398</v>
      </c>
      <c r="B223" s="15">
        <v>7</v>
      </c>
      <c r="C223" s="8">
        <v>4</v>
      </c>
      <c r="D223" s="8">
        <v>2</v>
      </c>
      <c r="E223" s="107"/>
      <c r="F223" s="137"/>
      <c r="G223" s="107"/>
      <c r="H223" s="107"/>
      <c r="I223" s="107"/>
      <c r="J223" s="107"/>
      <c r="K223" s="107"/>
      <c r="L223" s="107"/>
      <c r="M223" s="107"/>
      <c r="N223" s="107"/>
      <c r="O223" s="107"/>
      <c r="P223" s="107"/>
      <c r="Q223" s="107"/>
      <c r="R223" s="107"/>
      <c r="S223" s="107"/>
      <c r="T223" s="107"/>
      <c r="U223" s="107"/>
      <c r="V223" s="107"/>
      <c r="W223" s="107"/>
      <c r="X223" s="107"/>
      <c r="Y223" s="107"/>
      <c r="Z223" s="107"/>
      <c r="AA223" s="107"/>
      <c r="AB223" s="107"/>
      <c r="AC223" s="107"/>
      <c r="AD223" s="107"/>
      <c r="AE223" s="107"/>
      <c r="AF223" s="107"/>
      <c r="AG223" s="107"/>
      <c r="AH223" s="107"/>
      <c r="AI223" s="107"/>
      <c r="AJ223" s="107"/>
      <c r="AK223" s="107"/>
      <c r="AL223" s="107"/>
      <c r="AM223" s="107"/>
      <c r="AN223" s="107"/>
      <c r="AO223" s="107"/>
      <c r="AP223" s="107"/>
      <c r="AQ223" s="107"/>
      <c r="AR223" s="107"/>
      <c r="AS223" s="107"/>
      <c r="AT223" s="107"/>
      <c r="AU223" s="107"/>
      <c r="AV223" s="107"/>
      <c r="AW223" s="107"/>
      <c r="AX223" s="107"/>
      <c r="AY223" s="107"/>
      <c r="AZ223" s="107"/>
      <c r="BA223" s="107"/>
      <c r="BB223" s="107"/>
    </row>
    <row r="224" spans="1:54" ht="15" x14ac:dyDescent="0.25">
      <c r="A224" s="143" t="s">
        <v>399</v>
      </c>
      <c r="B224" s="15">
        <v>3</v>
      </c>
      <c r="C224" s="8">
        <v>7</v>
      </c>
      <c r="D224" s="8">
        <v>2</v>
      </c>
      <c r="E224" s="107"/>
      <c r="F224" s="137"/>
      <c r="G224" s="107"/>
      <c r="H224" s="107"/>
      <c r="I224" s="107"/>
      <c r="J224" s="107"/>
      <c r="K224" s="107"/>
      <c r="L224" s="107"/>
      <c r="M224" s="107"/>
      <c r="N224" s="107"/>
      <c r="O224" s="107"/>
      <c r="P224" s="107"/>
      <c r="Q224" s="107"/>
      <c r="R224" s="107"/>
      <c r="S224" s="107"/>
      <c r="T224" s="107"/>
      <c r="U224" s="107"/>
      <c r="V224" s="107"/>
      <c r="W224" s="107"/>
      <c r="X224" s="107"/>
      <c r="Y224" s="107"/>
      <c r="Z224" s="107"/>
      <c r="AA224" s="107"/>
      <c r="AB224" s="107"/>
      <c r="AC224" s="107"/>
      <c r="AD224" s="107"/>
      <c r="AE224" s="107"/>
      <c r="AF224" s="107"/>
      <c r="AG224" s="107"/>
      <c r="AH224" s="107"/>
      <c r="AI224" s="107"/>
      <c r="AJ224" s="107"/>
      <c r="AK224" s="107"/>
      <c r="AL224" s="107"/>
      <c r="AM224" s="107"/>
      <c r="AN224" s="107"/>
      <c r="AO224" s="107"/>
      <c r="AP224" s="107"/>
      <c r="AQ224" s="107"/>
      <c r="AR224" s="107"/>
      <c r="AS224" s="107"/>
      <c r="AT224" s="107"/>
      <c r="AU224" s="107"/>
      <c r="AV224" s="107"/>
      <c r="AW224" s="107"/>
      <c r="AX224" s="107"/>
      <c r="AY224" s="107"/>
      <c r="AZ224" s="107"/>
      <c r="BA224" s="107"/>
      <c r="BB224" s="107"/>
    </row>
    <row r="225" spans="1:54" ht="15" x14ac:dyDescent="0.25">
      <c r="A225" s="143" t="s">
        <v>400</v>
      </c>
      <c r="B225" s="15">
        <v>1</v>
      </c>
      <c r="C225" s="8">
        <v>6</v>
      </c>
      <c r="D225" s="8">
        <v>2</v>
      </c>
      <c r="E225" s="107"/>
      <c r="F225" s="137"/>
      <c r="G225" s="107"/>
      <c r="H225" s="107"/>
      <c r="I225" s="107"/>
      <c r="J225" s="107"/>
      <c r="K225" s="107"/>
      <c r="L225" s="107"/>
      <c r="M225" s="107"/>
      <c r="N225" s="107"/>
      <c r="O225" s="107"/>
      <c r="P225" s="107"/>
      <c r="Q225" s="107"/>
      <c r="R225" s="107"/>
      <c r="S225" s="107"/>
      <c r="T225" s="107"/>
      <c r="U225" s="107"/>
      <c r="V225" s="107"/>
      <c r="W225" s="107"/>
      <c r="X225" s="107"/>
      <c r="Y225" s="107"/>
      <c r="Z225" s="107"/>
      <c r="AA225" s="107"/>
      <c r="AB225" s="107"/>
      <c r="AC225" s="107"/>
      <c r="AD225" s="107"/>
      <c r="AE225" s="107"/>
      <c r="AF225" s="107"/>
      <c r="AG225" s="107"/>
      <c r="AH225" s="107"/>
      <c r="AI225" s="107"/>
      <c r="AJ225" s="107"/>
      <c r="AK225" s="107"/>
      <c r="AL225" s="107"/>
      <c r="AM225" s="107"/>
      <c r="AN225" s="107"/>
      <c r="AO225" s="107"/>
      <c r="AP225" s="107"/>
      <c r="AQ225" s="107"/>
      <c r="AR225" s="107"/>
      <c r="AS225" s="107"/>
      <c r="AT225" s="107"/>
      <c r="AU225" s="107"/>
      <c r="AV225" s="107"/>
      <c r="AW225" s="107"/>
      <c r="AX225" s="107"/>
      <c r="AY225" s="107"/>
      <c r="AZ225" s="107"/>
      <c r="BA225" s="107"/>
      <c r="BB225" s="107"/>
    </row>
    <row r="226" spans="1:54" ht="15" x14ac:dyDescent="0.25">
      <c r="A226" s="143" t="s">
        <v>401</v>
      </c>
      <c r="B226" s="15">
        <v>3</v>
      </c>
      <c r="C226" s="8">
        <v>5</v>
      </c>
      <c r="D226" s="8">
        <v>2</v>
      </c>
      <c r="E226" s="107"/>
      <c r="F226" s="137"/>
      <c r="G226" s="107"/>
      <c r="H226" s="107"/>
      <c r="I226" s="107"/>
      <c r="J226" s="107"/>
      <c r="K226" s="107"/>
      <c r="L226" s="107"/>
      <c r="M226" s="107"/>
      <c r="N226" s="107"/>
      <c r="O226" s="107"/>
      <c r="P226" s="107"/>
      <c r="Q226" s="107"/>
      <c r="R226" s="107"/>
      <c r="S226" s="107"/>
      <c r="T226" s="107"/>
      <c r="U226" s="107"/>
      <c r="V226" s="107"/>
      <c r="W226" s="107"/>
      <c r="X226" s="107"/>
      <c r="Y226" s="107"/>
      <c r="Z226" s="107"/>
      <c r="AA226" s="107"/>
      <c r="AB226" s="107"/>
      <c r="AC226" s="107"/>
      <c r="AD226" s="107"/>
      <c r="AE226" s="107"/>
      <c r="AF226" s="107"/>
      <c r="AG226" s="107"/>
      <c r="AH226" s="107"/>
      <c r="AI226" s="107"/>
      <c r="AJ226" s="107"/>
      <c r="AK226" s="107"/>
      <c r="AL226" s="107"/>
      <c r="AM226" s="107"/>
      <c r="AN226" s="107"/>
      <c r="AO226" s="107"/>
      <c r="AP226" s="107"/>
      <c r="AQ226" s="107"/>
      <c r="AR226" s="107"/>
      <c r="AS226" s="107"/>
      <c r="AT226" s="107"/>
      <c r="AU226" s="107"/>
      <c r="AV226" s="107"/>
      <c r="AW226" s="107"/>
      <c r="AX226" s="107"/>
      <c r="AY226" s="107"/>
      <c r="AZ226" s="107"/>
      <c r="BA226" s="107"/>
      <c r="BB226" s="107"/>
    </row>
    <row r="227" spans="1:54" ht="15" x14ac:dyDescent="0.25">
      <c r="A227" s="143" t="s">
        <v>611</v>
      </c>
      <c r="B227" s="15">
        <v>30</v>
      </c>
      <c r="C227" s="8">
        <v>40</v>
      </c>
      <c r="D227" s="8">
        <v>10</v>
      </c>
      <c r="E227" s="107"/>
      <c r="F227" s="137"/>
      <c r="G227" s="107"/>
      <c r="H227" s="107"/>
      <c r="I227" s="107"/>
      <c r="J227" s="107"/>
      <c r="K227" s="107"/>
      <c r="L227" s="107"/>
      <c r="M227" s="107"/>
      <c r="N227" s="107"/>
      <c r="O227" s="107"/>
      <c r="P227" s="107"/>
      <c r="Q227" s="107"/>
      <c r="R227" s="107"/>
      <c r="S227" s="107"/>
      <c r="T227" s="107"/>
      <c r="U227" s="107"/>
      <c r="V227" s="107"/>
      <c r="W227" s="107"/>
      <c r="X227" s="107"/>
      <c r="Y227" s="107"/>
      <c r="Z227" s="107"/>
      <c r="AA227" s="107"/>
      <c r="AB227" s="107"/>
      <c r="AC227" s="107"/>
      <c r="AD227" s="107"/>
      <c r="AE227" s="107"/>
      <c r="AF227" s="107"/>
      <c r="AG227" s="107"/>
      <c r="AH227" s="107"/>
      <c r="AI227" s="107"/>
      <c r="AJ227" s="107"/>
      <c r="AK227" s="107"/>
      <c r="AL227" s="107"/>
      <c r="AM227" s="107"/>
      <c r="AN227" s="107"/>
      <c r="AO227" s="107"/>
      <c r="AP227" s="107"/>
      <c r="AQ227" s="107"/>
      <c r="AR227" s="107"/>
      <c r="AS227" s="107"/>
      <c r="AT227" s="107"/>
      <c r="AU227" s="107"/>
      <c r="AV227" s="107"/>
      <c r="AW227" s="107"/>
      <c r="AX227" s="107"/>
      <c r="AY227" s="107"/>
      <c r="AZ227" s="107"/>
      <c r="BA227" s="107"/>
      <c r="BB227" s="107"/>
    </row>
    <row r="228" spans="1:54" ht="15" x14ac:dyDescent="0.25">
      <c r="A228" s="143" t="s">
        <v>573</v>
      </c>
      <c r="B228" s="15"/>
      <c r="C228" s="8">
        <v>2</v>
      </c>
      <c r="D228" s="8"/>
      <c r="E228" s="107"/>
      <c r="F228" s="137"/>
      <c r="G228" s="107"/>
      <c r="H228" s="107"/>
      <c r="I228" s="107"/>
      <c r="J228" s="107"/>
      <c r="K228" s="107"/>
      <c r="L228" s="107"/>
      <c r="M228" s="107"/>
      <c r="N228" s="107"/>
      <c r="O228" s="107"/>
      <c r="P228" s="107"/>
      <c r="Q228" s="107"/>
      <c r="R228" s="107"/>
      <c r="S228" s="107"/>
      <c r="T228" s="107"/>
      <c r="U228" s="107"/>
      <c r="V228" s="107"/>
      <c r="W228" s="107"/>
      <c r="X228" s="107"/>
      <c r="Y228" s="107"/>
      <c r="Z228" s="107"/>
      <c r="AA228" s="107"/>
      <c r="AB228" s="107"/>
      <c r="AC228" s="107"/>
      <c r="AD228" s="107"/>
      <c r="AE228" s="107"/>
      <c r="AF228" s="107"/>
      <c r="AG228" s="107"/>
      <c r="AH228" s="107"/>
      <c r="AI228" s="107"/>
      <c r="AJ228" s="107"/>
      <c r="AK228" s="107"/>
      <c r="AL228" s="107"/>
      <c r="AM228" s="107"/>
      <c r="AN228" s="107"/>
      <c r="AO228" s="107"/>
      <c r="AP228" s="107"/>
      <c r="AQ228" s="107"/>
      <c r="AR228" s="107"/>
      <c r="AS228" s="107"/>
      <c r="AT228" s="107"/>
      <c r="AU228" s="107"/>
      <c r="AV228" s="107"/>
      <c r="AW228" s="107"/>
      <c r="AX228" s="107"/>
      <c r="AY228" s="107"/>
      <c r="AZ228" s="107"/>
      <c r="BA228" s="107"/>
      <c r="BB228" s="107"/>
    </row>
    <row r="229" spans="1:54" ht="15" x14ac:dyDescent="0.25">
      <c r="A229" s="143" t="s">
        <v>449</v>
      </c>
      <c r="B229" s="15">
        <v>5</v>
      </c>
      <c r="C229" s="8"/>
      <c r="D229" s="8"/>
      <c r="E229" s="107"/>
      <c r="F229" s="137"/>
      <c r="G229" s="107"/>
      <c r="H229" s="107"/>
      <c r="I229" s="107"/>
      <c r="J229" s="107"/>
      <c r="K229" s="107"/>
      <c r="L229" s="107"/>
      <c r="M229" s="107"/>
      <c r="N229" s="107"/>
      <c r="O229" s="107"/>
      <c r="P229" s="107"/>
      <c r="Q229" s="107"/>
      <c r="R229" s="107"/>
      <c r="S229" s="107"/>
      <c r="T229" s="107"/>
      <c r="U229" s="107"/>
      <c r="V229" s="107"/>
      <c r="W229" s="107"/>
      <c r="X229" s="107"/>
      <c r="Y229" s="107"/>
      <c r="Z229" s="107"/>
      <c r="AA229" s="107"/>
      <c r="AB229" s="107"/>
      <c r="AC229" s="107"/>
      <c r="AD229" s="107"/>
      <c r="AE229" s="107"/>
      <c r="AF229" s="107"/>
      <c r="AG229" s="107"/>
      <c r="AH229" s="107"/>
      <c r="AI229" s="107"/>
      <c r="AJ229" s="107"/>
      <c r="AK229" s="107"/>
      <c r="AL229" s="107"/>
      <c r="AM229" s="107"/>
      <c r="AN229" s="107"/>
      <c r="AO229" s="107"/>
      <c r="AP229" s="107"/>
      <c r="AQ229" s="107"/>
      <c r="AR229" s="107"/>
      <c r="AS229" s="107"/>
      <c r="AT229" s="107"/>
      <c r="AU229" s="107"/>
      <c r="AV229" s="107"/>
      <c r="AW229" s="107"/>
      <c r="AX229" s="107"/>
      <c r="AY229" s="107"/>
      <c r="AZ229" s="107"/>
      <c r="BA229" s="107"/>
      <c r="BB229" s="107"/>
    </row>
    <row r="230" spans="1:54" ht="15" x14ac:dyDescent="0.25">
      <c r="A230" s="143" t="s">
        <v>451</v>
      </c>
      <c r="B230" s="15">
        <v>8</v>
      </c>
      <c r="C230" s="8">
        <v>2</v>
      </c>
      <c r="D230" s="8"/>
      <c r="E230" s="107"/>
      <c r="F230" s="137"/>
      <c r="G230" s="107"/>
      <c r="H230" s="107"/>
      <c r="I230" s="107"/>
      <c r="J230" s="107"/>
      <c r="K230" s="107"/>
      <c r="L230" s="107"/>
      <c r="M230" s="107"/>
      <c r="N230" s="107"/>
      <c r="O230" s="107"/>
      <c r="P230" s="107"/>
      <c r="Q230" s="107"/>
      <c r="R230" s="107"/>
      <c r="S230" s="107"/>
      <c r="T230" s="107"/>
      <c r="U230" s="107"/>
      <c r="V230" s="107"/>
      <c r="W230" s="107"/>
      <c r="X230" s="107"/>
      <c r="Y230" s="107"/>
      <c r="Z230" s="107"/>
      <c r="AA230" s="107"/>
      <c r="AB230" s="107"/>
      <c r="AC230" s="107"/>
      <c r="AD230" s="107"/>
      <c r="AE230" s="107"/>
      <c r="AF230" s="107"/>
      <c r="AG230" s="107"/>
      <c r="AH230" s="107"/>
      <c r="AI230" s="107"/>
      <c r="AJ230" s="107"/>
      <c r="AK230" s="107"/>
      <c r="AL230" s="107"/>
      <c r="AM230" s="107"/>
      <c r="AN230" s="107"/>
      <c r="AO230" s="107"/>
      <c r="AP230" s="107"/>
      <c r="AQ230" s="107"/>
      <c r="AR230" s="107"/>
      <c r="AS230" s="107"/>
      <c r="AT230" s="107"/>
      <c r="AU230" s="107"/>
      <c r="AV230" s="107"/>
      <c r="AW230" s="107"/>
      <c r="AX230" s="107"/>
      <c r="AY230" s="107"/>
      <c r="AZ230" s="107"/>
      <c r="BA230" s="107"/>
      <c r="BB230" s="107"/>
    </row>
    <row r="231" spans="1:54" ht="15" x14ac:dyDescent="0.25">
      <c r="A231" s="143" t="s">
        <v>453</v>
      </c>
      <c r="B231" s="15">
        <v>6</v>
      </c>
      <c r="C231" s="8"/>
      <c r="D231" s="8"/>
      <c r="E231" s="107"/>
      <c r="F231" s="137"/>
      <c r="G231" s="107"/>
      <c r="H231" s="107"/>
      <c r="I231" s="107"/>
      <c r="J231" s="107"/>
      <c r="K231" s="107"/>
      <c r="L231" s="107"/>
      <c r="M231" s="107"/>
      <c r="N231" s="107"/>
      <c r="O231" s="107"/>
      <c r="P231" s="107"/>
      <c r="Q231" s="107"/>
      <c r="R231" s="107"/>
      <c r="S231" s="107"/>
      <c r="T231" s="107"/>
      <c r="U231" s="107"/>
      <c r="V231" s="107"/>
      <c r="W231" s="107"/>
      <c r="X231" s="107"/>
      <c r="Y231" s="107"/>
      <c r="Z231" s="107"/>
      <c r="AA231" s="107"/>
      <c r="AB231" s="107"/>
      <c r="AC231" s="107"/>
      <c r="AD231" s="107"/>
      <c r="AE231" s="107"/>
      <c r="AF231" s="107"/>
      <c r="AG231" s="107"/>
      <c r="AH231" s="107"/>
      <c r="AI231" s="107"/>
      <c r="AJ231" s="107"/>
      <c r="AK231" s="107"/>
      <c r="AL231" s="107"/>
      <c r="AM231" s="107"/>
      <c r="AN231" s="107"/>
      <c r="AO231" s="107"/>
      <c r="AP231" s="107"/>
      <c r="AQ231" s="107"/>
      <c r="AR231" s="107"/>
      <c r="AS231" s="107"/>
      <c r="AT231" s="107"/>
      <c r="AU231" s="107"/>
      <c r="AV231" s="107"/>
      <c r="AW231" s="107"/>
      <c r="AX231" s="107"/>
      <c r="AY231" s="107"/>
      <c r="AZ231" s="107"/>
      <c r="BA231" s="107"/>
      <c r="BB231" s="107"/>
    </row>
    <row r="232" spans="1:54" ht="15" x14ac:dyDescent="0.25">
      <c r="A232" s="143" t="s">
        <v>455</v>
      </c>
      <c r="B232" s="15">
        <v>13</v>
      </c>
      <c r="C232" s="8">
        <v>9</v>
      </c>
      <c r="D232" s="8">
        <v>3</v>
      </c>
      <c r="E232" s="107"/>
      <c r="F232" s="137"/>
      <c r="G232" s="107"/>
      <c r="H232" s="107"/>
      <c r="I232" s="107"/>
      <c r="J232" s="107"/>
      <c r="K232" s="107"/>
      <c r="L232" s="107"/>
      <c r="M232" s="107"/>
      <c r="N232" s="107"/>
      <c r="O232" s="107"/>
      <c r="P232" s="107"/>
      <c r="Q232" s="107"/>
      <c r="R232" s="107"/>
      <c r="S232" s="107"/>
      <c r="T232" s="107"/>
      <c r="U232" s="107"/>
      <c r="V232" s="107"/>
      <c r="W232" s="107"/>
      <c r="X232" s="107"/>
      <c r="Y232" s="107"/>
      <c r="Z232" s="107"/>
      <c r="AA232" s="107"/>
      <c r="AB232" s="107"/>
      <c r="AC232" s="107"/>
      <c r="AD232" s="107"/>
      <c r="AE232" s="107"/>
      <c r="AF232" s="107"/>
      <c r="AG232" s="107"/>
      <c r="AH232" s="107"/>
      <c r="AI232" s="107"/>
      <c r="AJ232" s="107"/>
      <c r="AK232" s="107"/>
      <c r="AL232" s="107"/>
      <c r="AM232" s="107"/>
      <c r="AN232" s="107"/>
      <c r="AO232" s="107"/>
      <c r="AP232" s="107"/>
      <c r="AQ232" s="107"/>
      <c r="AR232" s="107"/>
      <c r="AS232" s="107"/>
      <c r="AT232" s="107"/>
      <c r="AU232" s="107"/>
      <c r="AV232" s="107"/>
      <c r="AW232" s="107"/>
      <c r="AX232" s="107"/>
      <c r="AY232" s="107"/>
      <c r="AZ232" s="107"/>
      <c r="BA232" s="107"/>
      <c r="BB232" s="107"/>
    </row>
    <row r="233" spans="1:54" ht="15" x14ac:dyDescent="0.25">
      <c r="A233" s="143" t="s">
        <v>446</v>
      </c>
      <c r="B233" s="15"/>
      <c r="C233" s="8"/>
      <c r="D233" s="8">
        <v>3</v>
      </c>
      <c r="E233" s="107"/>
      <c r="F233" s="137"/>
      <c r="G233" s="107"/>
      <c r="H233" s="107"/>
      <c r="I233" s="107"/>
      <c r="J233" s="107"/>
      <c r="K233" s="107"/>
      <c r="L233" s="107"/>
      <c r="M233" s="107"/>
      <c r="N233" s="107"/>
      <c r="O233" s="107"/>
      <c r="P233" s="107"/>
      <c r="Q233" s="107"/>
      <c r="R233" s="107"/>
      <c r="S233" s="107"/>
      <c r="T233" s="107"/>
      <c r="U233" s="107"/>
      <c r="V233" s="107"/>
      <c r="W233" s="107"/>
      <c r="X233" s="107"/>
      <c r="Y233" s="107"/>
      <c r="Z233" s="107"/>
      <c r="AA233" s="107"/>
      <c r="AB233" s="107"/>
      <c r="AC233" s="107"/>
      <c r="AD233" s="107"/>
      <c r="AE233" s="107"/>
      <c r="AF233" s="107"/>
      <c r="AG233" s="107"/>
      <c r="AH233" s="107"/>
      <c r="AI233" s="107"/>
      <c r="AJ233" s="107"/>
      <c r="AK233" s="107"/>
      <c r="AL233" s="107"/>
      <c r="AM233" s="107"/>
      <c r="AN233" s="107"/>
      <c r="AO233" s="107"/>
      <c r="AP233" s="107"/>
      <c r="AQ233" s="107"/>
      <c r="AR233" s="107"/>
      <c r="AS233" s="107"/>
      <c r="AT233" s="107"/>
      <c r="AU233" s="107"/>
      <c r="AV233" s="107"/>
      <c r="AW233" s="107"/>
      <c r="AX233" s="107"/>
      <c r="AY233" s="107"/>
      <c r="AZ233" s="107"/>
      <c r="BA233" s="107"/>
      <c r="BB233" s="107"/>
    </row>
    <row r="234" spans="1:54" ht="15" x14ac:dyDescent="0.25">
      <c r="A234" s="143"/>
      <c r="B234" s="15"/>
      <c r="C234" s="8"/>
      <c r="D234" s="8"/>
      <c r="E234" s="107"/>
      <c r="F234" s="137"/>
      <c r="G234" s="107"/>
      <c r="H234" s="107"/>
      <c r="I234" s="107"/>
      <c r="J234" s="107"/>
      <c r="K234" s="107"/>
      <c r="L234" s="107"/>
      <c r="M234" s="107"/>
      <c r="N234" s="107"/>
      <c r="O234" s="107"/>
      <c r="P234" s="107"/>
      <c r="Q234" s="107"/>
      <c r="R234" s="107"/>
      <c r="S234" s="107"/>
      <c r="T234" s="107"/>
      <c r="U234" s="107"/>
      <c r="V234" s="107"/>
      <c r="W234" s="107"/>
      <c r="X234" s="107"/>
      <c r="Y234" s="107"/>
      <c r="Z234" s="107"/>
      <c r="AA234" s="107"/>
      <c r="AB234" s="107"/>
      <c r="AC234" s="107"/>
      <c r="AD234" s="107"/>
      <c r="AE234" s="107"/>
      <c r="AF234" s="107"/>
      <c r="AG234" s="107"/>
      <c r="AH234" s="107"/>
      <c r="AI234" s="107"/>
      <c r="AJ234" s="107"/>
      <c r="AK234" s="107"/>
      <c r="AL234" s="107"/>
      <c r="AM234" s="107"/>
      <c r="AN234" s="107"/>
      <c r="AO234" s="107"/>
      <c r="AP234" s="107"/>
      <c r="AQ234" s="107"/>
      <c r="AR234" s="107"/>
      <c r="AS234" s="107"/>
      <c r="AT234" s="107"/>
      <c r="AU234" s="107"/>
      <c r="AV234" s="107"/>
      <c r="AW234" s="107"/>
      <c r="AX234" s="107"/>
      <c r="AY234" s="107"/>
      <c r="AZ234" s="107"/>
      <c r="BA234" s="107"/>
      <c r="BB234" s="107"/>
    </row>
    <row r="235" spans="1:54" ht="15" x14ac:dyDescent="0.25">
      <c r="A235" s="143"/>
      <c r="B235" s="15"/>
      <c r="C235" s="8"/>
      <c r="D235" s="8"/>
      <c r="E235" s="107"/>
      <c r="F235" s="137"/>
      <c r="G235" s="107"/>
      <c r="H235" s="107"/>
      <c r="I235" s="107"/>
      <c r="J235" s="107"/>
      <c r="K235" s="107"/>
      <c r="L235" s="107"/>
      <c r="M235" s="107"/>
      <c r="N235" s="107"/>
      <c r="O235" s="107"/>
      <c r="P235" s="107"/>
      <c r="Q235" s="107"/>
      <c r="R235" s="107"/>
      <c r="S235" s="107"/>
      <c r="T235" s="107"/>
      <c r="U235" s="107"/>
      <c r="V235" s="107"/>
      <c r="W235" s="107"/>
      <c r="X235" s="107"/>
      <c r="Y235" s="107"/>
      <c r="Z235" s="107"/>
      <c r="AA235" s="107"/>
      <c r="AB235" s="107"/>
      <c r="AC235" s="107"/>
      <c r="AD235" s="107"/>
      <c r="AE235" s="107"/>
      <c r="AF235" s="107"/>
      <c r="AG235" s="107"/>
      <c r="AH235" s="107"/>
      <c r="AI235" s="107"/>
      <c r="AJ235" s="107"/>
      <c r="AK235" s="107"/>
      <c r="AL235" s="107"/>
      <c r="AM235" s="107"/>
      <c r="AN235" s="107"/>
      <c r="AO235" s="107"/>
      <c r="AP235" s="107"/>
      <c r="AQ235" s="107"/>
      <c r="AR235" s="107"/>
      <c r="AS235" s="107"/>
      <c r="AT235" s="107"/>
      <c r="AU235" s="107"/>
      <c r="AV235" s="107"/>
      <c r="AW235" s="107"/>
      <c r="AX235" s="107"/>
      <c r="AY235" s="107"/>
      <c r="AZ235" s="107"/>
      <c r="BA235" s="107"/>
      <c r="BB235" s="107"/>
    </row>
    <row r="236" spans="1:54" ht="15" x14ac:dyDescent="0.25">
      <c r="A236" s="143"/>
      <c r="B236" s="15"/>
      <c r="C236" s="8"/>
      <c r="D236" s="8"/>
      <c r="E236" s="107"/>
      <c r="F236" s="137"/>
      <c r="G236" s="107"/>
      <c r="H236" s="107"/>
      <c r="I236" s="107"/>
      <c r="J236" s="107"/>
      <c r="K236" s="107"/>
      <c r="L236" s="107"/>
      <c r="M236" s="107"/>
      <c r="N236" s="107"/>
      <c r="O236" s="107"/>
      <c r="P236" s="107"/>
      <c r="Q236" s="107"/>
      <c r="R236" s="107"/>
      <c r="S236" s="107"/>
      <c r="T236" s="107"/>
      <c r="U236" s="107"/>
      <c r="V236" s="107"/>
      <c r="W236" s="107"/>
      <c r="X236" s="107"/>
      <c r="Y236" s="107"/>
      <c r="Z236" s="107"/>
      <c r="AA236" s="107"/>
      <c r="AB236" s="107"/>
      <c r="AC236" s="107"/>
      <c r="AD236" s="107"/>
      <c r="AE236" s="107"/>
      <c r="AF236" s="107"/>
      <c r="AG236" s="107"/>
      <c r="AH236" s="107"/>
      <c r="AI236" s="107"/>
      <c r="AJ236" s="107"/>
      <c r="AK236" s="107"/>
      <c r="AL236" s="107"/>
      <c r="AM236" s="107"/>
      <c r="AN236" s="107"/>
      <c r="AO236" s="107"/>
      <c r="AP236" s="107"/>
      <c r="AQ236" s="107"/>
      <c r="AR236" s="107"/>
      <c r="AS236" s="107"/>
      <c r="AT236" s="107"/>
      <c r="AU236" s="107"/>
      <c r="AV236" s="107"/>
      <c r="AW236" s="107"/>
      <c r="AX236" s="107"/>
      <c r="AY236" s="107"/>
      <c r="AZ236" s="107"/>
      <c r="BA236" s="107"/>
      <c r="BB236" s="107"/>
    </row>
    <row r="237" spans="1:54" ht="17.399999999999999" x14ac:dyDescent="0.3">
      <c r="A237" s="150" t="s">
        <v>796</v>
      </c>
      <c r="B237" s="74"/>
      <c r="C237" s="8"/>
      <c r="D237" s="8"/>
      <c r="E237" s="107"/>
      <c r="F237" s="137"/>
      <c r="G237" s="107"/>
      <c r="H237" s="107"/>
      <c r="I237" s="107"/>
      <c r="J237" s="107"/>
      <c r="K237" s="107"/>
      <c r="L237" s="107"/>
      <c r="M237" s="107"/>
      <c r="N237" s="107"/>
      <c r="O237" s="107"/>
      <c r="P237" s="107"/>
      <c r="Q237" s="107"/>
      <c r="R237" s="107"/>
      <c r="S237" s="107"/>
      <c r="T237" s="107"/>
      <c r="U237" s="107"/>
      <c r="V237" s="107"/>
      <c r="W237" s="107"/>
      <c r="X237" s="107"/>
      <c r="Y237" s="107"/>
      <c r="Z237" s="107"/>
      <c r="AA237" s="107"/>
      <c r="AB237" s="107"/>
      <c r="AC237" s="107"/>
      <c r="AD237" s="107"/>
      <c r="AE237" s="107"/>
      <c r="AF237" s="107"/>
      <c r="AG237" s="107"/>
      <c r="AH237" s="107"/>
      <c r="AI237" s="107"/>
      <c r="AJ237" s="107"/>
      <c r="AK237" s="107"/>
      <c r="AL237" s="107"/>
      <c r="AM237" s="107"/>
      <c r="AN237" s="107"/>
      <c r="AO237" s="107"/>
      <c r="AP237" s="107"/>
      <c r="AQ237" s="107"/>
      <c r="AR237" s="107"/>
      <c r="AS237" s="107"/>
      <c r="AT237" s="107"/>
      <c r="AU237" s="107"/>
      <c r="AV237" s="107"/>
      <c r="AW237" s="107"/>
      <c r="AX237" s="107"/>
      <c r="AY237" s="107"/>
      <c r="AZ237" s="107"/>
      <c r="BA237" s="107"/>
      <c r="BB237" s="107"/>
    </row>
    <row r="238" spans="1:54" ht="15" x14ac:dyDescent="0.25">
      <c r="A238" s="143" t="s">
        <v>459</v>
      </c>
      <c r="B238" s="15">
        <v>1</v>
      </c>
      <c r="C238" s="8">
        <v>2</v>
      </c>
      <c r="D238" s="8"/>
      <c r="E238" s="107"/>
      <c r="F238" s="137"/>
      <c r="G238" s="107"/>
      <c r="H238" s="107"/>
      <c r="I238" s="107"/>
      <c r="J238" s="107"/>
      <c r="K238" s="107"/>
      <c r="L238" s="107"/>
      <c r="M238" s="107"/>
      <c r="N238" s="107"/>
      <c r="O238" s="107"/>
      <c r="P238" s="107"/>
      <c r="Q238" s="107"/>
      <c r="R238" s="107"/>
      <c r="S238" s="107"/>
      <c r="T238" s="107"/>
      <c r="U238" s="107"/>
      <c r="V238" s="107"/>
      <c r="W238" s="107"/>
      <c r="X238" s="107"/>
      <c r="Y238" s="107"/>
      <c r="Z238" s="107"/>
      <c r="AA238" s="107"/>
      <c r="AB238" s="107"/>
      <c r="AC238" s="107"/>
      <c r="AD238" s="107"/>
      <c r="AE238" s="107"/>
      <c r="AF238" s="107"/>
      <c r="AG238" s="107"/>
      <c r="AH238" s="107"/>
      <c r="AI238" s="107"/>
      <c r="AJ238" s="107"/>
      <c r="AK238" s="107"/>
      <c r="AL238" s="107"/>
      <c r="AM238" s="107"/>
      <c r="AN238" s="107"/>
      <c r="AO238" s="107"/>
      <c r="AP238" s="107"/>
      <c r="AQ238" s="107"/>
      <c r="AR238" s="107"/>
      <c r="AS238" s="107"/>
      <c r="AT238" s="107"/>
      <c r="AU238" s="107"/>
      <c r="AV238" s="107"/>
      <c r="AW238" s="107"/>
      <c r="AX238" s="107"/>
      <c r="AY238" s="107"/>
      <c r="AZ238" s="107"/>
      <c r="BA238" s="107"/>
      <c r="BB238" s="107"/>
    </row>
    <row r="239" spans="1:54" ht="15" x14ac:dyDescent="0.25">
      <c r="A239" s="155" t="s">
        <v>413</v>
      </c>
      <c r="B239" s="15">
        <v>1</v>
      </c>
      <c r="C239" s="8">
        <v>2</v>
      </c>
      <c r="D239" s="8"/>
      <c r="E239" s="107"/>
      <c r="F239" s="137"/>
      <c r="G239" s="107"/>
      <c r="H239" s="107"/>
      <c r="I239" s="107"/>
      <c r="J239" s="107"/>
      <c r="K239" s="107"/>
      <c r="L239" s="107"/>
      <c r="M239" s="107"/>
      <c r="N239" s="107"/>
      <c r="O239" s="107"/>
      <c r="P239" s="107"/>
      <c r="Q239" s="107"/>
      <c r="R239" s="107"/>
      <c r="S239" s="107"/>
      <c r="T239" s="107"/>
      <c r="U239" s="107"/>
      <c r="V239" s="107"/>
      <c r="W239" s="107"/>
      <c r="X239" s="107"/>
      <c r="Y239" s="107"/>
      <c r="Z239" s="107"/>
      <c r="AA239" s="107"/>
      <c r="AB239" s="107"/>
      <c r="AC239" s="107"/>
      <c r="AD239" s="107"/>
      <c r="AE239" s="107"/>
      <c r="AF239" s="107"/>
      <c r="AG239" s="107"/>
      <c r="AH239" s="107"/>
      <c r="AI239" s="107"/>
      <c r="AJ239" s="107"/>
      <c r="AK239" s="107"/>
      <c r="AL239" s="107"/>
      <c r="AM239" s="107"/>
      <c r="AN239" s="107"/>
      <c r="AO239" s="107"/>
      <c r="AP239" s="107"/>
      <c r="AQ239" s="107"/>
      <c r="AR239" s="107"/>
      <c r="AS239" s="107"/>
      <c r="AT239" s="107"/>
      <c r="AU239" s="107"/>
      <c r="AV239" s="107"/>
      <c r="AW239" s="107"/>
      <c r="AX239" s="107"/>
      <c r="AY239" s="107"/>
      <c r="AZ239" s="107"/>
      <c r="BA239" s="107"/>
      <c r="BB239" s="107"/>
    </row>
    <row r="240" spans="1:54" ht="15" x14ac:dyDescent="0.25">
      <c r="A240" s="155" t="s">
        <v>460</v>
      </c>
      <c r="B240" s="15">
        <v>1</v>
      </c>
      <c r="C240" s="8"/>
      <c r="D240" s="8"/>
      <c r="E240" s="107"/>
      <c r="F240" s="137"/>
      <c r="G240" s="107"/>
      <c r="H240" s="107"/>
      <c r="I240" s="107"/>
      <c r="J240" s="107"/>
      <c r="K240" s="107"/>
      <c r="L240" s="107"/>
      <c r="M240" s="107"/>
      <c r="N240" s="107"/>
      <c r="O240" s="107"/>
      <c r="P240" s="107"/>
      <c r="Q240" s="107"/>
      <c r="R240" s="107"/>
      <c r="S240" s="107"/>
      <c r="T240" s="107"/>
      <c r="U240" s="107"/>
      <c r="V240" s="107"/>
      <c r="W240" s="107"/>
      <c r="X240" s="107"/>
      <c r="Y240" s="107"/>
      <c r="Z240" s="107"/>
      <c r="AA240" s="107"/>
      <c r="AB240" s="107"/>
      <c r="AC240" s="107"/>
      <c r="AD240" s="107"/>
      <c r="AE240" s="107"/>
      <c r="AF240" s="107"/>
      <c r="AG240" s="107"/>
      <c r="AH240" s="107"/>
      <c r="AI240" s="107"/>
      <c r="AJ240" s="107"/>
      <c r="AK240" s="107"/>
      <c r="AL240" s="107"/>
      <c r="AM240" s="107"/>
      <c r="AN240" s="107"/>
      <c r="AO240" s="107"/>
      <c r="AP240" s="107"/>
      <c r="AQ240" s="107"/>
      <c r="AR240" s="107"/>
      <c r="AS240" s="107"/>
      <c r="AT240" s="107"/>
      <c r="AU240" s="107"/>
      <c r="AV240" s="107"/>
      <c r="AW240" s="107"/>
      <c r="AX240" s="107"/>
      <c r="AY240" s="107"/>
      <c r="AZ240" s="107"/>
      <c r="BA240" s="107"/>
      <c r="BB240" s="107"/>
    </row>
    <row r="241" spans="1:54" ht="15" x14ac:dyDescent="0.25">
      <c r="A241" s="155" t="s">
        <v>581</v>
      </c>
      <c r="B241" s="15"/>
      <c r="C241" s="8"/>
      <c r="D241" s="8">
        <v>1</v>
      </c>
      <c r="E241" s="107"/>
      <c r="F241" s="137"/>
      <c r="G241" s="107"/>
      <c r="H241" s="107"/>
      <c r="I241" s="107"/>
      <c r="J241" s="107"/>
      <c r="K241" s="107"/>
      <c r="L241" s="107"/>
      <c r="M241" s="107"/>
      <c r="N241" s="107"/>
      <c r="O241" s="107"/>
      <c r="P241" s="107"/>
      <c r="Q241" s="107"/>
      <c r="R241" s="107"/>
      <c r="S241" s="107"/>
      <c r="T241" s="107"/>
      <c r="U241" s="107"/>
      <c r="V241" s="107"/>
      <c r="W241" s="107"/>
      <c r="X241" s="107"/>
      <c r="Y241" s="107"/>
      <c r="Z241" s="107"/>
      <c r="AA241" s="107"/>
      <c r="AB241" s="107"/>
      <c r="AC241" s="107"/>
      <c r="AD241" s="107"/>
      <c r="AE241" s="107"/>
      <c r="AF241" s="107"/>
      <c r="AG241" s="107"/>
      <c r="AH241" s="107"/>
      <c r="AI241" s="107"/>
      <c r="AJ241" s="107"/>
      <c r="AK241" s="107"/>
      <c r="AL241" s="107"/>
      <c r="AM241" s="107"/>
      <c r="AN241" s="107"/>
      <c r="AO241" s="107"/>
      <c r="AP241" s="107"/>
      <c r="AQ241" s="107"/>
      <c r="AR241" s="107"/>
      <c r="AS241" s="107"/>
      <c r="AT241" s="107"/>
      <c r="AU241" s="107"/>
      <c r="AV241" s="107"/>
      <c r="AW241" s="107"/>
      <c r="AX241" s="107"/>
      <c r="AY241" s="107"/>
      <c r="AZ241" s="107"/>
      <c r="BA241" s="107"/>
      <c r="BB241" s="107"/>
    </row>
    <row r="242" spans="1:54" ht="15" x14ac:dyDescent="0.25">
      <c r="A242" s="155" t="s">
        <v>523</v>
      </c>
      <c r="B242" s="15">
        <v>13</v>
      </c>
      <c r="C242" s="8">
        <v>10</v>
      </c>
      <c r="D242" s="8"/>
      <c r="E242" s="107"/>
      <c r="F242" s="137"/>
      <c r="G242" s="107"/>
      <c r="H242" s="107"/>
      <c r="I242" s="107"/>
      <c r="J242" s="107"/>
      <c r="K242" s="107"/>
      <c r="L242" s="107"/>
      <c r="M242" s="107"/>
      <c r="N242" s="107"/>
      <c r="O242" s="107"/>
      <c r="P242" s="107"/>
      <c r="Q242" s="107"/>
      <c r="R242" s="107"/>
      <c r="S242" s="107"/>
      <c r="T242" s="107"/>
      <c r="U242" s="107"/>
      <c r="V242" s="107"/>
      <c r="W242" s="107"/>
      <c r="X242" s="107"/>
      <c r="Y242" s="107"/>
      <c r="Z242" s="107"/>
      <c r="AA242" s="107"/>
      <c r="AB242" s="107"/>
      <c r="AC242" s="107"/>
      <c r="AD242" s="107"/>
      <c r="AE242" s="107"/>
      <c r="AF242" s="107"/>
      <c r="AG242" s="107"/>
      <c r="AH242" s="107"/>
      <c r="AI242" s="107"/>
      <c r="AJ242" s="107"/>
      <c r="AK242" s="107"/>
      <c r="AL242" s="107"/>
      <c r="AM242" s="107"/>
      <c r="AN242" s="107"/>
      <c r="AO242" s="107"/>
      <c r="AP242" s="107"/>
      <c r="AQ242" s="107"/>
      <c r="AR242" s="107"/>
      <c r="AS242" s="107"/>
      <c r="AT242" s="107"/>
      <c r="AU242" s="107"/>
      <c r="AV242" s="107"/>
      <c r="AW242" s="107"/>
      <c r="AX242" s="107"/>
      <c r="AY242" s="107"/>
      <c r="AZ242" s="107"/>
      <c r="BA242" s="107"/>
      <c r="BB242" s="107"/>
    </row>
    <row r="243" spans="1:54" ht="15" x14ac:dyDescent="0.25">
      <c r="A243" s="155" t="s">
        <v>481</v>
      </c>
      <c r="B243" s="15">
        <v>5</v>
      </c>
      <c r="C243" s="8">
        <v>5</v>
      </c>
      <c r="D243" s="8"/>
      <c r="E243" s="107"/>
      <c r="F243" s="137"/>
      <c r="G243" s="107"/>
      <c r="H243" s="107"/>
      <c r="I243" s="107"/>
      <c r="J243" s="107"/>
      <c r="K243" s="107"/>
      <c r="L243" s="107"/>
      <c r="M243" s="107"/>
      <c r="N243" s="107"/>
      <c r="O243" s="107"/>
      <c r="P243" s="107"/>
      <c r="Q243" s="107"/>
      <c r="R243" s="107"/>
      <c r="S243" s="107"/>
      <c r="T243" s="107"/>
      <c r="U243" s="107"/>
      <c r="V243" s="107"/>
      <c r="W243" s="107"/>
      <c r="X243" s="107"/>
      <c r="Y243" s="107"/>
      <c r="Z243" s="107"/>
      <c r="AA243" s="107"/>
      <c r="AB243" s="107"/>
      <c r="AC243" s="107"/>
      <c r="AD243" s="107"/>
      <c r="AE243" s="107"/>
      <c r="AF243" s="107"/>
      <c r="AG243" s="107"/>
      <c r="AH243" s="107"/>
      <c r="AI243" s="107"/>
      <c r="AJ243" s="107"/>
      <c r="AK243" s="107"/>
      <c r="AL243" s="107"/>
      <c r="AM243" s="107"/>
      <c r="AN243" s="107"/>
      <c r="AO243" s="107"/>
      <c r="AP243" s="107"/>
      <c r="AQ243" s="107"/>
      <c r="AR243" s="107"/>
      <c r="AS243" s="107"/>
      <c r="AT243" s="107"/>
      <c r="AU243" s="107"/>
      <c r="AV243" s="107"/>
      <c r="AW243" s="107"/>
      <c r="AX243" s="107"/>
      <c r="AY243" s="107"/>
      <c r="AZ243" s="107"/>
      <c r="BA243" s="107"/>
      <c r="BB243" s="107"/>
    </row>
    <row r="244" spans="1:54" ht="15" x14ac:dyDescent="0.25">
      <c r="A244" s="155" t="s">
        <v>426</v>
      </c>
      <c r="B244" s="15">
        <v>1</v>
      </c>
      <c r="C244" s="8"/>
      <c r="D244" s="8"/>
      <c r="E244" s="107"/>
      <c r="F244" s="137"/>
      <c r="G244" s="107"/>
      <c r="H244" s="107"/>
      <c r="I244" s="107"/>
      <c r="J244" s="107"/>
      <c r="K244" s="107"/>
      <c r="L244" s="107"/>
      <c r="M244" s="107"/>
      <c r="N244" s="107"/>
      <c r="O244" s="107"/>
      <c r="P244" s="107"/>
      <c r="Q244" s="107"/>
      <c r="R244" s="107"/>
      <c r="S244" s="107"/>
      <c r="T244" s="107"/>
      <c r="U244" s="107"/>
      <c r="V244" s="107"/>
      <c r="W244" s="107"/>
      <c r="X244" s="107"/>
      <c r="Y244" s="107"/>
      <c r="Z244" s="107"/>
      <c r="AA244" s="107"/>
      <c r="AB244" s="107"/>
      <c r="AC244" s="107"/>
      <c r="AD244" s="107"/>
      <c r="AE244" s="107"/>
      <c r="AF244" s="107"/>
      <c r="AG244" s="107"/>
      <c r="AH244" s="107"/>
      <c r="AI244" s="107"/>
      <c r="AJ244" s="107"/>
      <c r="AK244" s="107"/>
      <c r="AL244" s="107"/>
      <c r="AM244" s="107"/>
      <c r="AN244" s="107"/>
      <c r="AO244" s="107"/>
      <c r="AP244" s="107"/>
      <c r="AQ244" s="107"/>
      <c r="AR244" s="107"/>
      <c r="AS244" s="107"/>
      <c r="AT244" s="107"/>
      <c r="AU244" s="107"/>
      <c r="AV244" s="107"/>
      <c r="AW244" s="107"/>
      <c r="AX244" s="107"/>
      <c r="AY244" s="107"/>
      <c r="AZ244" s="107"/>
      <c r="BA244" s="107"/>
      <c r="BB244" s="107"/>
    </row>
    <row r="245" spans="1:54" ht="15" x14ac:dyDescent="0.25">
      <c r="A245" s="155" t="s">
        <v>433</v>
      </c>
      <c r="B245" s="15">
        <v>1</v>
      </c>
      <c r="C245" s="8"/>
      <c r="D245" s="8"/>
      <c r="E245" s="107"/>
      <c r="F245" s="137"/>
      <c r="G245" s="107"/>
      <c r="H245" s="107"/>
      <c r="I245" s="107"/>
      <c r="J245" s="107"/>
      <c r="K245" s="107"/>
      <c r="L245" s="107"/>
      <c r="M245" s="107"/>
      <c r="N245" s="107"/>
      <c r="O245" s="107"/>
      <c r="P245" s="107"/>
      <c r="Q245" s="107"/>
      <c r="R245" s="107"/>
      <c r="S245" s="107"/>
      <c r="T245" s="107"/>
      <c r="U245" s="107"/>
      <c r="V245" s="107"/>
      <c r="W245" s="107"/>
      <c r="X245" s="107"/>
      <c r="Y245" s="107"/>
      <c r="Z245" s="107"/>
      <c r="AA245" s="107"/>
      <c r="AB245" s="107"/>
      <c r="AC245" s="107"/>
      <c r="AD245" s="107"/>
      <c r="AE245" s="107"/>
      <c r="AF245" s="107"/>
      <c r="AG245" s="107"/>
      <c r="AH245" s="107"/>
      <c r="AI245" s="107"/>
      <c r="AJ245" s="107"/>
      <c r="AK245" s="107"/>
      <c r="AL245" s="107"/>
      <c r="AM245" s="107"/>
      <c r="AN245" s="107"/>
      <c r="AO245" s="107"/>
      <c r="AP245" s="107"/>
      <c r="AQ245" s="107"/>
      <c r="AR245" s="107"/>
      <c r="AS245" s="107"/>
      <c r="AT245" s="107"/>
      <c r="AU245" s="107"/>
      <c r="AV245" s="107"/>
      <c r="AW245" s="107"/>
      <c r="AX245" s="107"/>
      <c r="AY245" s="107"/>
      <c r="AZ245" s="107"/>
      <c r="BA245" s="107"/>
      <c r="BB245" s="107"/>
    </row>
    <row r="246" spans="1:54" ht="15" x14ac:dyDescent="0.25">
      <c r="A246" s="155"/>
      <c r="B246" s="15"/>
      <c r="C246" s="8"/>
      <c r="D246" s="8"/>
      <c r="E246" s="107"/>
      <c r="F246" s="137"/>
      <c r="G246" s="107"/>
      <c r="H246" s="107"/>
      <c r="I246" s="107"/>
      <c r="J246" s="107"/>
      <c r="K246" s="107"/>
      <c r="L246" s="107"/>
      <c r="M246" s="107"/>
      <c r="N246" s="107"/>
      <c r="O246" s="107"/>
      <c r="P246" s="107"/>
      <c r="Q246" s="107"/>
      <c r="R246" s="107"/>
      <c r="S246" s="107"/>
      <c r="T246" s="107"/>
      <c r="U246" s="107"/>
      <c r="V246" s="107"/>
      <c r="W246" s="107"/>
      <c r="X246" s="107"/>
      <c r="Y246" s="107"/>
      <c r="Z246" s="107"/>
      <c r="AA246" s="107"/>
      <c r="AB246" s="107"/>
      <c r="AC246" s="107"/>
      <c r="AD246" s="107"/>
      <c r="AE246" s="107"/>
      <c r="AF246" s="107"/>
      <c r="AG246" s="107"/>
      <c r="AH246" s="107"/>
      <c r="AI246" s="107"/>
      <c r="AJ246" s="107"/>
      <c r="AK246" s="107"/>
      <c r="AL246" s="107"/>
      <c r="AM246" s="107"/>
      <c r="AN246" s="107"/>
      <c r="AO246" s="107"/>
      <c r="AP246" s="107"/>
      <c r="AQ246" s="107"/>
      <c r="AR246" s="107"/>
      <c r="AS246" s="107"/>
      <c r="AT246" s="107"/>
      <c r="AU246" s="107"/>
      <c r="AV246" s="107"/>
      <c r="AW246" s="107"/>
      <c r="AX246" s="107"/>
      <c r="AY246" s="107"/>
      <c r="AZ246" s="107"/>
      <c r="BA246" s="107"/>
      <c r="BB246" s="107"/>
    </row>
    <row r="247" spans="1:54" ht="15" x14ac:dyDescent="0.25">
      <c r="A247" s="155"/>
      <c r="B247" s="15"/>
      <c r="C247" s="8"/>
      <c r="D247" s="8"/>
      <c r="E247" s="107"/>
      <c r="F247" s="137"/>
      <c r="G247" s="107"/>
      <c r="H247" s="107"/>
      <c r="I247" s="107"/>
      <c r="J247" s="107"/>
      <c r="K247" s="107"/>
      <c r="L247" s="107"/>
      <c r="M247" s="107"/>
      <c r="N247" s="107"/>
      <c r="O247" s="107"/>
      <c r="P247" s="107"/>
      <c r="Q247" s="107"/>
      <c r="R247" s="107"/>
      <c r="S247" s="107"/>
      <c r="T247" s="107"/>
      <c r="U247" s="107"/>
      <c r="V247" s="107"/>
      <c r="W247" s="107"/>
      <c r="X247" s="107"/>
      <c r="Y247" s="107"/>
      <c r="Z247" s="107"/>
      <c r="AA247" s="107"/>
      <c r="AB247" s="107"/>
      <c r="AC247" s="107"/>
      <c r="AD247" s="107"/>
      <c r="AE247" s="107"/>
      <c r="AF247" s="107"/>
      <c r="AG247" s="107"/>
      <c r="AH247" s="107"/>
      <c r="AI247" s="107"/>
      <c r="AJ247" s="107"/>
      <c r="AK247" s="107"/>
      <c r="AL247" s="107"/>
      <c r="AM247" s="107"/>
      <c r="AN247" s="107"/>
      <c r="AO247" s="107"/>
      <c r="AP247" s="107"/>
      <c r="AQ247" s="107"/>
      <c r="AR247" s="107"/>
      <c r="AS247" s="107"/>
      <c r="AT247" s="107"/>
      <c r="AU247" s="107"/>
      <c r="AV247" s="107"/>
      <c r="AW247" s="107"/>
      <c r="AX247" s="107"/>
      <c r="AY247" s="107"/>
      <c r="AZ247" s="107"/>
      <c r="BA247" s="107"/>
      <c r="BB247" s="107"/>
    </row>
    <row r="248" spans="1:54" ht="15" x14ac:dyDescent="0.25">
      <c r="A248" s="151"/>
      <c r="B248" s="15"/>
      <c r="C248" s="8"/>
      <c r="D248" s="8"/>
      <c r="E248" s="107"/>
      <c r="F248" s="137"/>
      <c r="G248" s="107"/>
      <c r="H248" s="107"/>
      <c r="I248" s="107"/>
      <c r="J248" s="107"/>
      <c r="K248" s="107"/>
      <c r="L248" s="107"/>
      <c r="M248" s="107"/>
      <c r="N248" s="107"/>
      <c r="O248" s="107"/>
      <c r="P248" s="107"/>
      <c r="Q248" s="107"/>
      <c r="R248" s="107"/>
      <c r="S248" s="107"/>
      <c r="T248" s="107"/>
      <c r="U248" s="107"/>
      <c r="V248" s="107"/>
      <c r="W248" s="107"/>
      <c r="X248" s="107"/>
      <c r="Y248" s="107"/>
      <c r="Z248" s="107"/>
      <c r="AA248" s="107"/>
      <c r="AB248" s="107"/>
      <c r="AC248" s="107"/>
      <c r="AD248" s="107"/>
      <c r="AE248" s="107"/>
      <c r="AF248" s="107"/>
      <c r="AG248" s="107"/>
      <c r="AH248" s="107"/>
      <c r="AI248" s="107"/>
      <c r="AJ248" s="107"/>
      <c r="AK248" s="107"/>
      <c r="AL248" s="107"/>
      <c r="AM248" s="107"/>
      <c r="AN248" s="107"/>
      <c r="AO248" s="107"/>
      <c r="AP248" s="107"/>
      <c r="AQ248" s="107"/>
      <c r="AR248" s="107"/>
      <c r="AS248" s="107"/>
      <c r="AT248" s="107"/>
      <c r="AU248" s="107"/>
      <c r="AV248" s="107"/>
      <c r="AW248" s="107"/>
      <c r="AX248" s="107"/>
      <c r="AY248" s="107"/>
      <c r="AZ248" s="107"/>
      <c r="BA248" s="107"/>
      <c r="BB248" s="107"/>
    </row>
    <row r="249" spans="1:54" ht="15" x14ac:dyDescent="0.25">
      <c r="A249" s="143"/>
      <c r="B249" s="15"/>
      <c r="C249" s="8"/>
      <c r="D249" s="8"/>
      <c r="E249" s="106"/>
      <c r="F249" s="13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c r="AZ249" s="106"/>
      <c r="BA249" s="106"/>
      <c r="BB249" s="106"/>
    </row>
    <row r="250" spans="1:54" ht="15" x14ac:dyDescent="0.25">
      <c r="A250" s="143"/>
      <c r="B250" s="15"/>
      <c r="C250" s="8"/>
      <c r="D250" s="8"/>
      <c r="E250" s="107"/>
      <c r="F250" s="137"/>
      <c r="G250" s="107"/>
      <c r="H250" s="107"/>
      <c r="I250" s="107"/>
      <c r="J250" s="107"/>
      <c r="K250" s="107"/>
      <c r="L250" s="107"/>
      <c r="M250" s="107"/>
      <c r="N250" s="107"/>
      <c r="O250" s="107"/>
      <c r="P250" s="107"/>
      <c r="Q250" s="107"/>
      <c r="R250" s="107"/>
      <c r="S250" s="107"/>
      <c r="T250" s="107"/>
      <c r="U250" s="107"/>
      <c r="V250" s="107"/>
      <c r="W250" s="107"/>
      <c r="X250" s="107"/>
      <c r="Y250" s="107"/>
      <c r="Z250" s="107"/>
      <c r="AA250" s="107"/>
      <c r="AB250" s="107"/>
      <c r="AC250" s="107"/>
      <c r="AD250" s="107"/>
      <c r="AE250" s="107"/>
      <c r="AF250" s="107"/>
      <c r="AG250" s="107"/>
      <c r="AH250" s="107"/>
      <c r="AI250" s="107"/>
      <c r="AJ250" s="107"/>
      <c r="AK250" s="107"/>
      <c r="AL250" s="107"/>
      <c r="AM250" s="107"/>
      <c r="AN250" s="107"/>
      <c r="AO250" s="107"/>
      <c r="AP250" s="107"/>
      <c r="AQ250" s="107"/>
      <c r="AR250" s="107"/>
      <c r="AS250" s="107"/>
      <c r="AT250" s="107"/>
      <c r="AU250" s="107"/>
      <c r="AV250" s="107"/>
      <c r="AW250" s="107"/>
      <c r="AX250" s="107"/>
      <c r="AY250" s="107"/>
      <c r="AZ250" s="107"/>
      <c r="BA250" s="107"/>
      <c r="BB250" s="107"/>
    </row>
    <row r="251" spans="1:54" ht="17.399999999999999" x14ac:dyDescent="0.3">
      <c r="A251" s="145" t="s">
        <v>797</v>
      </c>
      <c r="B251" s="74"/>
      <c r="C251" s="8"/>
      <c r="D251" s="8"/>
      <c r="E251" s="107"/>
      <c r="F251" s="137"/>
      <c r="G251" s="107"/>
      <c r="H251" s="107"/>
      <c r="I251" s="107"/>
      <c r="J251" s="107"/>
      <c r="K251" s="107"/>
      <c r="L251" s="107"/>
      <c r="M251" s="107"/>
      <c r="N251" s="107"/>
      <c r="O251" s="107"/>
      <c r="P251" s="107"/>
      <c r="Q251" s="107"/>
      <c r="R251" s="107"/>
      <c r="S251" s="107"/>
      <c r="T251" s="107"/>
      <c r="U251" s="107"/>
      <c r="V251" s="107"/>
      <c r="W251" s="107"/>
      <c r="X251" s="107"/>
      <c r="Y251" s="107"/>
      <c r="Z251" s="107"/>
      <c r="AA251" s="107"/>
      <c r="AB251" s="107"/>
      <c r="AC251" s="107"/>
      <c r="AD251" s="107"/>
      <c r="AE251" s="107"/>
      <c r="AF251" s="107"/>
      <c r="AG251" s="107"/>
      <c r="AH251" s="107"/>
      <c r="AI251" s="107"/>
      <c r="AJ251" s="107"/>
      <c r="AK251" s="107"/>
      <c r="AL251" s="107"/>
      <c r="AM251" s="107"/>
      <c r="AN251" s="107"/>
      <c r="AO251" s="107"/>
      <c r="AP251" s="107"/>
      <c r="AQ251" s="107"/>
      <c r="AR251" s="107"/>
      <c r="AS251" s="107"/>
      <c r="AT251" s="107"/>
      <c r="AU251" s="107"/>
      <c r="AV251" s="107"/>
      <c r="AW251" s="107"/>
      <c r="AX251" s="107"/>
      <c r="AY251" s="107"/>
      <c r="AZ251" s="107"/>
      <c r="BA251" s="107"/>
      <c r="BB251" s="107"/>
    </row>
    <row r="252" spans="1:54" ht="15" x14ac:dyDescent="0.25">
      <c r="A252" s="143" t="s">
        <v>403</v>
      </c>
      <c r="B252" s="15">
        <v>11</v>
      </c>
      <c r="C252" s="8">
        <v>13</v>
      </c>
      <c r="D252" s="8">
        <v>3</v>
      </c>
      <c r="E252" s="107"/>
      <c r="F252" s="137"/>
      <c r="G252" s="107"/>
      <c r="H252" s="107"/>
      <c r="I252" s="107"/>
      <c r="J252" s="107"/>
      <c r="K252" s="107"/>
      <c r="L252" s="107"/>
      <c r="M252" s="107"/>
      <c r="N252" s="107"/>
      <c r="O252" s="107"/>
      <c r="P252" s="107"/>
      <c r="Q252" s="107"/>
      <c r="R252" s="107"/>
      <c r="S252" s="107"/>
      <c r="T252" s="107"/>
      <c r="U252" s="107"/>
      <c r="V252" s="107"/>
      <c r="W252" s="107"/>
      <c r="X252" s="107"/>
      <c r="Y252" s="107"/>
      <c r="Z252" s="107"/>
      <c r="AA252" s="107"/>
      <c r="AB252" s="107"/>
      <c r="AC252" s="107"/>
      <c r="AD252" s="107"/>
      <c r="AE252" s="107"/>
      <c r="AF252" s="107"/>
      <c r="AG252" s="107"/>
      <c r="AH252" s="107"/>
      <c r="AI252" s="107"/>
      <c r="AJ252" s="107"/>
      <c r="AK252" s="107"/>
      <c r="AL252" s="107"/>
      <c r="AM252" s="107"/>
      <c r="AN252" s="107"/>
      <c r="AO252" s="107"/>
      <c r="AP252" s="107"/>
      <c r="AQ252" s="107"/>
      <c r="AR252" s="107"/>
      <c r="AS252" s="107"/>
      <c r="AT252" s="107"/>
      <c r="AU252" s="107"/>
      <c r="AV252" s="107"/>
      <c r="AW252" s="107"/>
      <c r="AX252" s="107"/>
      <c r="AY252" s="107"/>
      <c r="AZ252" s="107"/>
      <c r="BA252" s="107"/>
      <c r="BB252" s="107"/>
    </row>
    <row r="253" spans="1:54" ht="15" x14ac:dyDescent="0.25">
      <c r="A253" s="143" t="s">
        <v>453</v>
      </c>
      <c r="B253" s="15">
        <v>4</v>
      </c>
      <c r="C253" s="8">
        <v>2</v>
      </c>
      <c r="D253" s="8"/>
      <c r="E253" s="107"/>
      <c r="F253" s="137"/>
      <c r="G253" s="107"/>
      <c r="H253" s="107"/>
      <c r="I253" s="107"/>
      <c r="J253" s="107"/>
      <c r="K253" s="107"/>
      <c r="L253" s="107"/>
      <c r="M253" s="107"/>
      <c r="N253" s="107"/>
      <c r="O253" s="107"/>
      <c r="P253" s="107"/>
      <c r="Q253" s="107"/>
      <c r="R253" s="107"/>
      <c r="S253" s="107"/>
      <c r="T253" s="107"/>
      <c r="U253" s="107"/>
      <c r="V253" s="107"/>
      <c r="W253" s="107"/>
      <c r="X253" s="107"/>
      <c r="Y253" s="107"/>
      <c r="Z253" s="107"/>
      <c r="AA253" s="107"/>
      <c r="AB253" s="107"/>
      <c r="AC253" s="107"/>
      <c r="AD253" s="107"/>
      <c r="AE253" s="107"/>
      <c r="AF253" s="107"/>
      <c r="AG253" s="107"/>
      <c r="AH253" s="107"/>
      <c r="AI253" s="107"/>
      <c r="AJ253" s="107"/>
      <c r="AK253" s="107"/>
      <c r="AL253" s="107"/>
      <c r="AM253" s="107"/>
      <c r="AN253" s="107"/>
      <c r="AO253" s="107"/>
      <c r="AP253" s="107"/>
      <c r="AQ253" s="107"/>
      <c r="AR253" s="107"/>
      <c r="AS253" s="107"/>
      <c r="AT253" s="107"/>
      <c r="AU253" s="107"/>
      <c r="AV253" s="107"/>
      <c r="AW253" s="107"/>
      <c r="AX253" s="107"/>
      <c r="AY253" s="107"/>
      <c r="AZ253" s="107"/>
      <c r="BA253" s="107"/>
      <c r="BB253" s="107"/>
    </row>
    <row r="254" spans="1:54" ht="15" x14ac:dyDescent="0.25">
      <c r="A254" s="143" t="s">
        <v>450</v>
      </c>
      <c r="B254" s="15">
        <v>10</v>
      </c>
      <c r="C254" s="8">
        <v>9</v>
      </c>
      <c r="D254" s="8"/>
      <c r="E254" s="107"/>
      <c r="F254" s="137"/>
      <c r="G254" s="107"/>
      <c r="H254" s="107"/>
      <c r="I254" s="107"/>
      <c r="J254" s="107"/>
      <c r="K254" s="107"/>
      <c r="L254" s="107"/>
      <c r="M254" s="107"/>
      <c r="N254" s="107"/>
      <c r="O254" s="107"/>
      <c r="P254" s="107"/>
      <c r="Q254" s="107"/>
      <c r="R254" s="107"/>
      <c r="S254" s="107"/>
      <c r="T254" s="107"/>
      <c r="U254" s="107"/>
      <c r="V254" s="107"/>
      <c r="W254" s="107"/>
      <c r="X254" s="107"/>
      <c r="Y254" s="107"/>
      <c r="Z254" s="107"/>
      <c r="AA254" s="107"/>
      <c r="AB254" s="107"/>
      <c r="AC254" s="107"/>
      <c r="AD254" s="107"/>
      <c r="AE254" s="107"/>
      <c r="AF254" s="107"/>
      <c r="AG254" s="107"/>
      <c r="AH254" s="107"/>
      <c r="AI254" s="107"/>
      <c r="AJ254" s="107"/>
      <c r="AK254" s="107"/>
      <c r="AL254" s="107"/>
      <c r="AM254" s="107"/>
      <c r="AN254" s="107"/>
      <c r="AO254" s="107"/>
      <c r="AP254" s="107"/>
      <c r="AQ254" s="107"/>
      <c r="AR254" s="107"/>
      <c r="AS254" s="107"/>
      <c r="AT254" s="107"/>
      <c r="AU254" s="107"/>
      <c r="AV254" s="107"/>
      <c r="AW254" s="107"/>
      <c r="AX254" s="107"/>
      <c r="AY254" s="107"/>
      <c r="AZ254" s="107"/>
      <c r="BA254" s="107"/>
      <c r="BB254" s="107"/>
    </row>
    <row r="255" spans="1:54" ht="15" x14ac:dyDescent="0.25">
      <c r="A255" s="143" t="s">
        <v>455</v>
      </c>
      <c r="B255" s="15">
        <v>8</v>
      </c>
      <c r="C255" s="8">
        <v>6</v>
      </c>
      <c r="D255" s="8"/>
      <c r="E255" s="107"/>
      <c r="F255" s="137"/>
      <c r="G255" s="107"/>
      <c r="H255" s="107"/>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c r="AI255" s="107"/>
      <c r="AJ255" s="107"/>
      <c r="AK255" s="107"/>
      <c r="AL255" s="107"/>
      <c r="AM255" s="107"/>
      <c r="AN255" s="107"/>
      <c r="AO255" s="107"/>
      <c r="AP255" s="107"/>
      <c r="AQ255" s="107"/>
      <c r="AR255" s="107"/>
      <c r="AS255" s="107"/>
      <c r="AT255" s="107"/>
      <c r="AU255" s="107"/>
      <c r="AV255" s="107"/>
      <c r="AW255" s="107"/>
      <c r="AX255" s="107"/>
      <c r="AY255" s="107"/>
      <c r="AZ255" s="107"/>
      <c r="BA255" s="107"/>
      <c r="BB255" s="107"/>
    </row>
    <row r="256" spans="1:54" ht="15" x14ac:dyDescent="0.25">
      <c r="A256" s="143" t="s">
        <v>399</v>
      </c>
      <c r="B256" s="15"/>
      <c r="C256" s="8">
        <v>3</v>
      </c>
      <c r="D256" s="8">
        <v>1</v>
      </c>
      <c r="E256" s="107"/>
      <c r="F256" s="137"/>
      <c r="G256" s="107"/>
      <c r="H256" s="107"/>
      <c r="I256" s="107"/>
      <c r="J256" s="107"/>
      <c r="K256" s="107"/>
      <c r="L256" s="107"/>
      <c r="M256" s="107"/>
      <c r="N256" s="107"/>
      <c r="O256" s="107"/>
      <c r="P256" s="107"/>
      <c r="Q256" s="107"/>
      <c r="R256" s="107"/>
      <c r="S256" s="107"/>
      <c r="T256" s="107"/>
      <c r="U256" s="107"/>
      <c r="V256" s="107"/>
      <c r="W256" s="107"/>
      <c r="X256" s="107"/>
      <c r="Y256" s="107"/>
      <c r="Z256" s="107"/>
      <c r="AA256" s="107"/>
      <c r="AB256" s="107"/>
      <c r="AC256" s="107"/>
      <c r="AD256" s="107"/>
      <c r="AE256" s="107"/>
      <c r="AF256" s="107"/>
      <c r="AG256" s="107"/>
      <c r="AH256" s="107"/>
      <c r="AI256" s="107"/>
      <c r="AJ256" s="107"/>
      <c r="AK256" s="107"/>
      <c r="AL256" s="107"/>
      <c r="AM256" s="107"/>
      <c r="AN256" s="107"/>
      <c r="AO256" s="107"/>
      <c r="AP256" s="107"/>
      <c r="AQ256" s="107"/>
      <c r="AR256" s="107"/>
      <c r="AS256" s="107"/>
      <c r="AT256" s="107"/>
      <c r="AU256" s="107"/>
      <c r="AV256" s="107"/>
      <c r="AW256" s="107"/>
      <c r="AX256" s="107"/>
      <c r="AY256" s="107"/>
      <c r="AZ256" s="107"/>
      <c r="BA256" s="107"/>
      <c r="BB256" s="107"/>
    </row>
    <row r="257" spans="1:54" ht="15" x14ac:dyDescent="0.25">
      <c r="A257" s="143" t="s">
        <v>395</v>
      </c>
      <c r="B257" s="15">
        <v>1</v>
      </c>
      <c r="C257" s="8"/>
      <c r="D257" s="8"/>
      <c r="E257" s="107"/>
      <c r="F257" s="137"/>
      <c r="G257" s="107"/>
      <c r="H257" s="107"/>
      <c r="I257" s="107"/>
      <c r="J257" s="107"/>
      <c r="K257" s="107"/>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c r="AI257" s="107"/>
      <c r="AJ257" s="107"/>
      <c r="AK257" s="107"/>
      <c r="AL257" s="107"/>
      <c r="AM257" s="107"/>
      <c r="AN257" s="107"/>
      <c r="AO257" s="107"/>
      <c r="AP257" s="107"/>
      <c r="AQ257" s="107"/>
      <c r="AR257" s="107"/>
      <c r="AS257" s="107"/>
      <c r="AT257" s="107"/>
      <c r="AU257" s="107"/>
      <c r="AV257" s="107"/>
      <c r="AW257" s="107"/>
      <c r="AX257" s="107"/>
      <c r="AY257" s="107"/>
      <c r="AZ257" s="107"/>
      <c r="BA257" s="107"/>
      <c r="BB257" s="107"/>
    </row>
    <row r="258" spans="1:54" ht="15" x14ac:dyDescent="0.25">
      <c r="A258" s="143" t="s">
        <v>438</v>
      </c>
      <c r="B258" s="15">
        <v>8</v>
      </c>
      <c r="C258" s="8">
        <v>12</v>
      </c>
      <c r="D258" s="8">
        <v>3</v>
      </c>
      <c r="E258" s="107"/>
      <c r="F258" s="137"/>
      <c r="G258" s="107"/>
      <c r="H258" s="107"/>
      <c r="I258" s="107"/>
      <c r="J258" s="107"/>
      <c r="K258" s="107"/>
      <c r="L258" s="107"/>
      <c r="M258" s="107"/>
      <c r="N258" s="107"/>
      <c r="O258" s="107"/>
      <c r="P258" s="107"/>
      <c r="Q258" s="107"/>
      <c r="R258" s="107"/>
      <c r="S258" s="107"/>
      <c r="T258" s="107"/>
      <c r="U258" s="107"/>
      <c r="V258" s="107"/>
      <c r="W258" s="107"/>
      <c r="X258" s="107"/>
      <c r="Y258" s="107"/>
      <c r="Z258" s="107"/>
      <c r="AA258" s="107"/>
      <c r="AB258" s="107"/>
      <c r="AC258" s="107"/>
      <c r="AD258" s="107"/>
      <c r="AE258" s="107"/>
      <c r="AF258" s="107"/>
      <c r="AG258" s="107"/>
      <c r="AH258" s="107"/>
      <c r="AI258" s="107"/>
      <c r="AJ258" s="107"/>
      <c r="AK258" s="107"/>
      <c r="AL258" s="107"/>
      <c r="AM258" s="107"/>
      <c r="AN258" s="107"/>
      <c r="AO258" s="107"/>
      <c r="AP258" s="107"/>
      <c r="AQ258" s="107"/>
      <c r="AR258" s="107"/>
      <c r="AS258" s="107"/>
      <c r="AT258" s="107"/>
      <c r="AU258" s="107"/>
      <c r="AV258" s="107"/>
      <c r="AW258" s="107"/>
      <c r="AX258" s="107"/>
      <c r="AY258" s="107"/>
      <c r="AZ258" s="107"/>
      <c r="BA258" s="107"/>
      <c r="BB258" s="107"/>
    </row>
    <row r="259" spans="1:54" ht="15" x14ac:dyDescent="0.25">
      <c r="A259" s="143" t="s">
        <v>566</v>
      </c>
      <c r="B259" s="15">
        <v>1</v>
      </c>
      <c r="C259" s="8">
        <v>2</v>
      </c>
      <c r="D259" s="8"/>
      <c r="E259" s="107"/>
      <c r="F259" s="137"/>
      <c r="G259" s="107"/>
      <c r="H259" s="107"/>
      <c r="I259" s="107"/>
      <c r="J259" s="107"/>
      <c r="K259" s="107"/>
      <c r="L259" s="107"/>
      <c r="M259" s="107"/>
      <c r="N259" s="107"/>
      <c r="O259" s="107"/>
      <c r="P259" s="107"/>
      <c r="Q259" s="107"/>
      <c r="R259" s="107"/>
      <c r="S259" s="107"/>
      <c r="T259" s="107"/>
      <c r="U259" s="107"/>
      <c r="V259" s="107"/>
      <c r="W259" s="107"/>
      <c r="X259" s="107"/>
      <c r="Y259" s="107"/>
      <c r="Z259" s="107"/>
      <c r="AA259" s="107"/>
      <c r="AB259" s="107"/>
      <c r="AC259" s="107"/>
      <c r="AD259" s="107"/>
      <c r="AE259" s="107"/>
      <c r="AF259" s="107"/>
      <c r="AG259" s="107"/>
      <c r="AH259" s="107"/>
      <c r="AI259" s="107"/>
      <c r="AJ259" s="107"/>
      <c r="AK259" s="107"/>
      <c r="AL259" s="107"/>
      <c r="AM259" s="107"/>
      <c r="AN259" s="107"/>
      <c r="AO259" s="107"/>
      <c r="AP259" s="107"/>
      <c r="AQ259" s="107"/>
      <c r="AR259" s="107"/>
      <c r="AS259" s="107"/>
      <c r="AT259" s="107"/>
      <c r="AU259" s="107"/>
      <c r="AV259" s="107"/>
      <c r="AW259" s="107"/>
      <c r="AX259" s="107"/>
      <c r="AY259" s="107"/>
      <c r="AZ259" s="107"/>
      <c r="BA259" s="107"/>
      <c r="BB259" s="107"/>
    </row>
    <row r="260" spans="1:54" ht="15" x14ac:dyDescent="0.25">
      <c r="A260" s="143" t="s">
        <v>508</v>
      </c>
      <c r="B260" s="15">
        <v>4</v>
      </c>
      <c r="C260" s="8">
        <v>1</v>
      </c>
      <c r="D260" s="8"/>
      <c r="E260" s="107"/>
      <c r="F260" s="137"/>
      <c r="G260" s="107"/>
      <c r="H260" s="107"/>
      <c r="I260" s="107"/>
      <c r="J260" s="107"/>
      <c r="K260" s="107"/>
      <c r="L260" s="107"/>
      <c r="M260" s="107"/>
      <c r="N260" s="107"/>
      <c r="O260" s="107"/>
      <c r="P260" s="107"/>
      <c r="Q260" s="107"/>
      <c r="R260" s="107"/>
      <c r="S260" s="107"/>
      <c r="T260" s="107"/>
      <c r="U260" s="107"/>
      <c r="V260" s="107"/>
      <c r="W260" s="107"/>
      <c r="X260" s="107"/>
      <c r="Y260" s="107"/>
      <c r="Z260" s="107"/>
      <c r="AA260" s="107"/>
      <c r="AB260" s="107"/>
      <c r="AC260" s="107"/>
      <c r="AD260" s="107"/>
      <c r="AE260" s="107"/>
      <c r="AF260" s="107"/>
      <c r="AG260" s="107"/>
      <c r="AH260" s="107"/>
      <c r="AI260" s="107"/>
      <c r="AJ260" s="107"/>
      <c r="AK260" s="107"/>
      <c r="AL260" s="107"/>
      <c r="AM260" s="107"/>
      <c r="AN260" s="107"/>
      <c r="AO260" s="107"/>
      <c r="AP260" s="107"/>
      <c r="AQ260" s="107"/>
      <c r="AR260" s="107"/>
      <c r="AS260" s="107"/>
      <c r="AT260" s="107"/>
      <c r="AU260" s="107"/>
      <c r="AV260" s="107"/>
      <c r="AW260" s="107"/>
      <c r="AX260" s="107"/>
      <c r="AY260" s="107"/>
      <c r="AZ260" s="107"/>
      <c r="BA260" s="107"/>
      <c r="BB260" s="107"/>
    </row>
    <row r="261" spans="1:54" ht="15" x14ac:dyDescent="0.25">
      <c r="A261" s="143" t="s">
        <v>510</v>
      </c>
      <c r="B261" s="15">
        <v>4</v>
      </c>
      <c r="C261" s="8">
        <v>3</v>
      </c>
      <c r="D261" s="8">
        <v>1</v>
      </c>
      <c r="E261" s="107"/>
      <c r="F261" s="137"/>
      <c r="G261" s="107"/>
      <c r="H261" s="107"/>
      <c r="I261" s="107"/>
      <c r="J261" s="107"/>
      <c r="K261" s="107"/>
      <c r="L261" s="107"/>
      <c r="M261" s="107"/>
      <c r="N261" s="107"/>
      <c r="O261" s="107"/>
      <c r="P261" s="107"/>
      <c r="Q261" s="107"/>
      <c r="R261" s="107"/>
      <c r="S261" s="107"/>
      <c r="T261" s="107"/>
      <c r="U261" s="107"/>
      <c r="V261" s="107"/>
      <c r="W261" s="107"/>
      <c r="X261" s="107"/>
      <c r="Y261" s="107"/>
      <c r="Z261" s="107"/>
      <c r="AA261" s="107"/>
      <c r="AB261" s="107"/>
      <c r="AC261" s="107"/>
      <c r="AD261" s="107"/>
      <c r="AE261" s="107"/>
      <c r="AF261" s="107"/>
      <c r="AG261" s="107"/>
      <c r="AH261" s="107"/>
      <c r="AI261" s="107"/>
      <c r="AJ261" s="107"/>
      <c r="AK261" s="107"/>
      <c r="AL261" s="107"/>
      <c r="AM261" s="107"/>
      <c r="AN261" s="107"/>
      <c r="AO261" s="107"/>
      <c r="AP261" s="107"/>
      <c r="AQ261" s="107"/>
      <c r="AR261" s="107"/>
      <c r="AS261" s="107"/>
      <c r="AT261" s="107"/>
      <c r="AU261" s="107"/>
      <c r="AV261" s="107"/>
      <c r="AW261" s="107"/>
      <c r="AX261" s="107"/>
      <c r="AY261" s="107"/>
      <c r="AZ261" s="107"/>
      <c r="BA261" s="107"/>
      <c r="BB261" s="107"/>
    </row>
    <row r="262" spans="1:54" ht="15" x14ac:dyDescent="0.25">
      <c r="A262" s="143" t="s">
        <v>511</v>
      </c>
      <c r="B262" s="15">
        <v>4</v>
      </c>
      <c r="C262" s="8">
        <v>3</v>
      </c>
      <c r="D262" s="8"/>
      <c r="E262" s="107"/>
      <c r="F262" s="137"/>
      <c r="G262" s="107"/>
      <c r="H262" s="107"/>
      <c r="I262" s="107"/>
      <c r="J262" s="107"/>
      <c r="K262" s="107"/>
      <c r="L262" s="107"/>
      <c r="M262" s="107"/>
      <c r="N262" s="107"/>
      <c r="O262" s="107"/>
      <c r="P262" s="107"/>
      <c r="Q262" s="107"/>
      <c r="R262" s="107"/>
      <c r="S262" s="107"/>
      <c r="T262" s="107"/>
      <c r="U262" s="107"/>
      <c r="V262" s="107"/>
      <c r="W262" s="107"/>
      <c r="X262" s="107"/>
      <c r="Y262" s="107"/>
      <c r="Z262" s="107"/>
      <c r="AA262" s="107"/>
      <c r="AB262" s="107"/>
      <c r="AC262" s="107"/>
      <c r="AD262" s="107"/>
      <c r="AE262" s="107"/>
      <c r="AF262" s="107"/>
      <c r="AG262" s="107"/>
      <c r="AH262" s="107"/>
      <c r="AI262" s="107"/>
      <c r="AJ262" s="107"/>
      <c r="AK262" s="107"/>
      <c r="AL262" s="107"/>
      <c r="AM262" s="107"/>
      <c r="AN262" s="107"/>
      <c r="AO262" s="107"/>
      <c r="AP262" s="107"/>
      <c r="AQ262" s="107"/>
      <c r="AR262" s="107"/>
      <c r="AS262" s="107"/>
      <c r="AT262" s="107"/>
      <c r="AU262" s="107"/>
      <c r="AV262" s="107"/>
      <c r="AW262" s="107"/>
      <c r="AX262" s="107"/>
      <c r="AY262" s="107"/>
      <c r="AZ262" s="107"/>
      <c r="BA262" s="107"/>
      <c r="BB262" s="107"/>
    </row>
    <row r="263" spans="1:54" ht="15" x14ac:dyDescent="0.25">
      <c r="A263" s="143" t="s">
        <v>484</v>
      </c>
      <c r="B263" s="15">
        <v>2</v>
      </c>
      <c r="C263" s="8">
        <v>2</v>
      </c>
      <c r="D263" s="8"/>
      <c r="E263" s="107"/>
      <c r="F263" s="137"/>
      <c r="G263" s="107"/>
      <c r="H263" s="107"/>
      <c r="I263" s="107"/>
      <c r="J263" s="107"/>
      <c r="K263" s="107"/>
      <c r="L263" s="107"/>
      <c r="M263" s="107"/>
      <c r="N263" s="107"/>
      <c r="O263" s="107"/>
      <c r="P263" s="107"/>
      <c r="Q263" s="107"/>
      <c r="R263" s="107"/>
      <c r="S263" s="107"/>
      <c r="T263" s="107"/>
      <c r="U263" s="107"/>
      <c r="V263" s="107"/>
      <c r="W263" s="107"/>
      <c r="X263" s="107"/>
      <c r="Y263" s="107"/>
      <c r="Z263" s="107"/>
      <c r="AA263" s="107"/>
      <c r="AB263" s="107"/>
      <c r="AC263" s="107"/>
      <c r="AD263" s="107"/>
      <c r="AE263" s="107"/>
      <c r="AF263" s="107"/>
      <c r="AG263" s="107"/>
      <c r="AH263" s="107"/>
      <c r="AI263" s="107"/>
      <c r="AJ263" s="107"/>
      <c r="AK263" s="107"/>
      <c r="AL263" s="107"/>
      <c r="AM263" s="107"/>
      <c r="AN263" s="107"/>
      <c r="AO263" s="107"/>
      <c r="AP263" s="107"/>
      <c r="AQ263" s="107"/>
      <c r="AR263" s="107"/>
      <c r="AS263" s="107"/>
      <c r="AT263" s="107"/>
      <c r="AU263" s="107"/>
      <c r="AV263" s="107"/>
      <c r="AW263" s="107"/>
      <c r="AX263" s="107"/>
      <c r="AY263" s="107"/>
      <c r="AZ263" s="107"/>
      <c r="BA263" s="107"/>
      <c r="BB263" s="107"/>
    </row>
    <row r="264" spans="1:54" ht="15" x14ac:dyDescent="0.25">
      <c r="A264" s="143" t="s">
        <v>591</v>
      </c>
      <c r="B264" s="15">
        <v>1</v>
      </c>
      <c r="C264" s="8">
        <v>1</v>
      </c>
      <c r="D264" s="8"/>
      <c r="E264" s="107"/>
      <c r="F264" s="137"/>
      <c r="G264" s="107"/>
      <c r="H264" s="107"/>
      <c r="I264" s="107"/>
      <c r="J264" s="107"/>
      <c r="K264" s="107"/>
      <c r="L264" s="107"/>
      <c r="M264" s="107"/>
      <c r="N264" s="107"/>
      <c r="O264" s="107"/>
      <c r="P264" s="107"/>
      <c r="Q264" s="107"/>
      <c r="R264" s="107"/>
      <c r="S264" s="107"/>
      <c r="T264" s="107"/>
      <c r="U264" s="107"/>
      <c r="V264" s="107"/>
      <c r="W264" s="107"/>
      <c r="X264" s="107"/>
      <c r="Y264" s="107"/>
      <c r="Z264" s="107"/>
      <c r="AA264" s="107"/>
      <c r="AB264" s="107"/>
      <c r="AC264" s="107"/>
      <c r="AD264" s="107"/>
      <c r="AE264" s="107"/>
      <c r="AF264" s="107"/>
      <c r="AG264" s="107"/>
      <c r="AH264" s="107"/>
      <c r="AI264" s="107"/>
      <c r="AJ264" s="107"/>
      <c r="AK264" s="107"/>
      <c r="AL264" s="107"/>
      <c r="AM264" s="107"/>
      <c r="AN264" s="107"/>
      <c r="AO264" s="107"/>
      <c r="AP264" s="107"/>
      <c r="AQ264" s="107"/>
      <c r="AR264" s="107"/>
      <c r="AS264" s="107"/>
      <c r="AT264" s="107"/>
      <c r="AU264" s="107"/>
      <c r="AV264" s="107"/>
      <c r="AW264" s="107"/>
      <c r="AX264" s="107"/>
      <c r="AY264" s="107"/>
      <c r="AZ264" s="107"/>
      <c r="BA264" s="107"/>
      <c r="BB264" s="107"/>
    </row>
    <row r="265" spans="1:54" ht="15" x14ac:dyDescent="0.25">
      <c r="A265" s="152" t="s">
        <v>513</v>
      </c>
      <c r="B265" s="22">
        <v>1</v>
      </c>
      <c r="C265" s="8">
        <v>1</v>
      </c>
      <c r="D265" s="8"/>
      <c r="E265" s="107"/>
      <c r="F265" s="137"/>
      <c r="G265" s="107"/>
      <c r="H265" s="107"/>
      <c r="I265" s="107"/>
      <c r="J265" s="107"/>
      <c r="K265" s="107"/>
      <c r="L265" s="107"/>
      <c r="M265" s="107"/>
      <c r="N265" s="107"/>
      <c r="O265" s="107"/>
      <c r="P265" s="107"/>
      <c r="Q265" s="107"/>
      <c r="R265" s="107"/>
      <c r="S265" s="107"/>
      <c r="T265" s="107"/>
      <c r="U265" s="107"/>
      <c r="V265" s="107"/>
      <c r="W265" s="107"/>
      <c r="X265" s="107"/>
      <c r="Y265" s="107"/>
      <c r="Z265" s="107"/>
      <c r="AA265" s="107"/>
      <c r="AB265" s="107"/>
      <c r="AC265" s="107"/>
      <c r="AD265" s="107"/>
      <c r="AE265" s="107"/>
      <c r="AF265" s="107"/>
      <c r="AG265" s="107"/>
      <c r="AH265" s="107"/>
      <c r="AI265" s="107"/>
      <c r="AJ265" s="107"/>
      <c r="AK265" s="107"/>
      <c r="AL265" s="107"/>
      <c r="AM265" s="107"/>
      <c r="AN265" s="107"/>
      <c r="AO265" s="107"/>
      <c r="AP265" s="107"/>
      <c r="AQ265" s="107"/>
      <c r="AR265" s="107"/>
      <c r="AS265" s="107"/>
      <c r="AT265" s="107"/>
      <c r="AU265" s="107"/>
      <c r="AV265" s="107"/>
      <c r="AW265" s="107"/>
      <c r="AX265" s="107"/>
      <c r="AY265" s="107"/>
      <c r="AZ265" s="107"/>
      <c r="BA265" s="107"/>
      <c r="BB265" s="107"/>
    </row>
    <row r="266" spans="1:54" ht="15" x14ac:dyDescent="0.25">
      <c r="A266" s="152"/>
      <c r="B266" s="22"/>
      <c r="C266" s="8"/>
      <c r="D266" s="8"/>
      <c r="E266" s="107"/>
      <c r="F266" s="137"/>
      <c r="G266" s="107"/>
      <c r="H266" s="107"/>
      <c r="I266" s="107"/>
      <c r="J266" s="107"/>
      <c r="K266" s="107"/>
      <c r="L266" s="107"/>
      <c r="M266" s="107"/>
      <c r="N266" s="107"/>
      <c r="O266" s="107"/>
      <c r="P266" s="107"/>
      <c r="Q266" s="107"/>
      <c r="R266" s="107"/>
      <c r="S266" s="107"/>
      <c r="T266" s="107"/>
      <c r="U266" s="107"/>
      <c r="V266" s="107"/>
      <c r="W266" s="107"/>
      <c r="X266" s="107"/>
      <c r="Y266" s="107"/>
      <c r="Z266" s="107"/>
      <c r="AA266" s="107"/>
      <c r="AB266" s="107"/>
      <c r="AC266" s="107"/>
      <c r="AD266" s="107"/>
      <c r="AE266" s="107"/>
      <c r="AF266" s="107"/>
      <c r="AG266" s="107"/>
      <c r="AH266" s="107"/>
      <c r="AI266" s="107"/>
      <c r="AJ266" s="107"/>
      <c r="AK266" s="107"/>
      <c r="AL266" s="107"/>
      <c r="AM266" s="107"/>
      <c r="AN266" s="107"/>
      <c r="AO266" s="107"/>
      <c r="AP266" s="107"/>
      <c r="AQ266" s="107"/>
      <c r="AR266" s="107"/>
      <c r="AS266" s="107"/>
      <c r="AT266" s="107"/>
      <c r="AU266" s="107"/>
      <c r="AV266" s="107"/>
      <c r="AW266" s="107"/>
      <c r="AX266" s="107"/>
      <c r="AY266" s="107"/>
      <c r="AZ266" s="107"/>
      <c r="BA266" s="107"/>
      <c r="BB266" s="107"/>
    </row>
    <row r="267" spans="1:54" ht="15" x14ac:dyDescent="0.25">
      <c r="A267" s="143"/>
      <c r="B267" s="15"/>
      <c r="C267" s="8"/>
      <c r="D267" s="8"/>
      <c r="E267" s="107"/>
      <c r="F267" s="137"/>
      <c r="G267" s="107"/>
      <c r="H267" s="107"/>
      <c r="I267" s="107"/>
      <c r="J267" s="107"/>
      <c r="K267" s="107"/>
      <c r="L267" s="107"/>
      <c r="M267" s="107"/>
      <c r="N267" s="107"/>
      <c r="O267" s="107"/>
      <c r="P267" s="107"/>
      <c r="Q267" s="107"/>
      <c r="R267" s="107"/>
      <c r="S267" s="107"/>
      <c r="T267" s="107"/>
      <c r="U267" s="107"/>
      <c r="V267" s="107"/>
      <c r="W267" s="107"/>
      <c r="X267" s="107"/>
      <c r="Y267" s="107"/>
      <c r="Z267" s="107"/>
      <c r="AA267" s="107"/>
      <c r="AB267" s="107"/>
      <c r="AC267" s="107"/>
      <c r="AD267" s="107"/>
      <c r="AE267" s="107"/>
      <c r="AF267" s="107"/>
      <c r="AG267" s="107"/>
      <c r="AH267" s="107"/>
      <c r="AI267" s="107"/>
      <c r="AJ267" s="107"/>
      <c r="AK267" s="107"/>
      <c r="AL267" s="107"/>
      <c r="AM267" s="107"/>
      <c r="AN267" s="107"/>
      <c r="AO267" s="107"/>
      <c r="AP267" s="107"/>
      <c r="AQ267" s="107"/>
      <c r="AR267" s="107"/>
      <c r="AS267" s="107"/>
      <c r="AT267" s="107"/>
      <c r="AU267" s="107"/>
      <c r="AV267" s="107"/>
      <c r="AW267" s="107"/>
      <c r="AX267" s="107"/>
      <c r="AY267" s="107"/>
      <c r="AZ267" s="107"/>
      <c r="BA267" s="107"/>
      <c r="BB267" s="107"/>
    </row>
    <row r="268" spans="1:54" ht="17.399999999999999" x14ac:dyDescent="0.3">
      <c r="A268" s="145" t="s">
        <v>798</v>
      </c>
      <c r="B268" s="74"/>
      <c r="C268" s="8"/>
      <c r="D268" s="8"/>
      <c r="E268" s="107"/>
      <c r="F268" s="137"/>
      <c r="G268" s="107"/>
      <c r="H268" s="107"/>
      <c r="I268" s="107"/>
      <c r="J268" s="107"/>
      <c r="K268" s="107"/>
      <c r="L268" s="107"/>
      <c r="M268" s="107"/>
      <c r="N268" s="107"/>
      <c r="O268" s="107"/>
      <c r="P268" s="107"/>
      <c r="Q268" s="107"/>
      <c r="R268" s="107"/>
      <c r="S268" s="107"/>
      <c r="T268" s="107"/>
      <c r="U268" s="107"/>
      <c r="V268" s="107"/>
      <c r="W268" s="107"/>
      <c r="X268" s="107"/>
      <c r="Y268" s="107"/>
      <c r="Z268" s="107"/>
      <c r="AA268" s="107"/>
      <c r="AB268" s="107"/>
      <c r="AC268" s="107"/>
      <c r="AD268" s="107"/>
      <c r="AE268" s="107"/>
      <c r="AF268" s="107"/>
      <c r="AG268" s="107"/>
      <c r="AH268" s="107"/>
      <c r="AI268" s="107"/>
      <c r="AJ268" s="107"/>
      <c r="AK268" s="107"/>
      <c r="AL268" s="107"/>
      <c r="AM268" s="107"/>
      <c r="AN268" s="107"/>
      <c r="AO268" s="107"/>
      <c r="AP268" s="107"/>
      <c r="AQ268" s="107"/>
      <c r="AR268" s="107"/>
      <c r="AS268" s="107"/>
      <c r="AT268" s="107"/>
      <c r="AU268" s="107"/>
      <c r="AV268" s="107"/>
      <c r="AW268" s="107"/>
      <c r="AX268" s="107"/>
      <c r="AY268" s="107"/>
      <c r="AZ268" s="107"/>
      <c r="BA268" s="107"/>
      <c r="BB268" s="107"/>
    </row>
    <row r="269" spans="1:54" ht="15" x14ac:dyDescent="0.25">
      <c r="A269" s="143" t="s">
        <v>398</v>
      </c>
      <c r="B269" s="15">
        <v>2</v>
      </c>
      <c r="C269" s="8">
        <v>2</v>
      </c>
      <c r="D269" s="8"/>
      <c r="E269" s="106"/>
      <c r="F269" s="13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c r="AZ269" s="106"/>
      <c r="BA269" s="106"/>
      <c r="BB269" s="106"/>
    </row>
    <row r="270" spans="1:54" ht="15" x14ac:dyDescent="0.25">
      <c r="A270" s="143" t="s">
        <v>399</v>
      </c>
      <c r="B270" s="15">
        <v>2</v>
      </c>
      <c r="C270" s="8">
        <v>1</v>
      </c>
      <c r="D270" s="8">
        <v>1</v>
      </c>
      <c r="E270" s="107"/>
      <c r="F270" s="137"/>
      <c r="G270" s="107"/>
      <c r="H270" s="107"/>
      <c r="I270" s="107"/>
      <c r="J270" s="107"/>
      <c r="K270" s="107"/>
      <c r="L270" s="107"/>
      <c r="M270" s="107"/>
      <c r="N270" s="107"/>
      <c r="O270" s="107"/>
      <c r="P270" s="107"/>
      <c r="Q270" s="107"/>
      <c r="R270" s="107"/>
      <c r="S270" s="107"/>
      <c r="T270" s="107"/>
      <c r="U270" s="107"/>
      <c r="V270" s="107"/>
      <c r="W270" s="107"/>
      <c r="X270" s="107"/>
      <c r="Y270" s="107"/>
      <c r="Z270" s="107"/>
      <c r="AA270" s="107"/>
      <c r="AB270" s="107"/>
      <c r="AC270" s="107"/>
      <c r="AD270" s="107"/>
      <c r="AE270" s="107"/>
      <c r="AF270" s="107"/>
      <c r="AG270" s="107"/>
      <c r="AH270" s="107"/>
      <c r="AI270" s="107"/>
      <c r="AJ270" s="107"/>
      <c r="AK270" s="107"/>
      <c r="AL270" s="107"/>
      <c r="AM270" s="107"/>
      <c r="AN270" s="107"/>
      <c r="AO270" s="107"/>
      <c r="AP270" s="107"/>
      <c r="AQ270" s="107"/>
      <c r="AR270" s="107"/>
      <c r="AS270" s="107"/>
      <c r="AT270" s="107"/>
      <c r="AU270" s="107"/>
      <c r="AV270" s="107"/>
      <c r="AW270" s="107"/>
      <c r="AX270" s="107"/>
      <c r="AY270" s="107"/>
      <c r="AZ270" s="107"/>
      <c r="BA270" s="107"/>
      <c r="BB270" s="107"/>
    </row>
    <row r="271" spans="1:54" ht="15" x14ac:dyDescent="0.25">
      <c r="A271" s="143" t="s">
        <v>400</v>
      </c>
      <c r="B271" s="15">
        <v>2</v>
      </c>
      <c r="C271" s="8">
        <v>3</v>
      </c>
      <c r="D271" s="8">
        <v>1</v>
      </c>
      <c r="E271" s="107"/>
      <c r="F271" s="137"/>
      <c r="G271" s="107"/>
      <c r="H271" s="107"/>
      <c r="I271" s="107"/>
      <c r="J271" s="107"/>
      <c r="K271" s="107"/>
      <c r="L271" s="107"/>
      <c r="M271" s="107"/>
      <c r="N271" s="107"/>
      <c r="O271" s="107"/>
      <c r="P271" s="107"/>
      <c r="Q271" s="107"/>
      <c r="R271" s="107"/>
      <c r="S271" s="107"/>
      <c r="T271" s="107"/>
      <c r="U271" s="107"/>
      <c r="V271" s="107"/>
      <c r="W271" s="107"/>
      <c r="X271" s="107"/>
      <c r="Y271" s="107"/>
      <c r="Z271" s="107"/>
      <c r="AA271" s="107"/>
      <c r="AB271" s="107"/>
      <c r="AC271" s="107"/>
      <c r="AD271" s="107"/>
      <c r="AE271" s="107"/>
      <c r="AF271" s="107"/>
      <c r="AG271" s="107"/>
      <c r="AH271" s="107"/>
      <c r="AI271" s="107"/>
      <c r="AJ271" s="107"/>
      <c r="AK271" s="107"/>
      <c r="AL271" s="107"/>
      <c r="AM271" s="107"/>
      <c r="AN271" s="107"/>
      <c r="AO271" s="107"/>
      <c r="AP271" s="107"/>
      <c r="AQ271" s="107"/>
      <c r="AR271" s="107"/>
      <c r="AS271" s="107"/>
      <c r="AT271" s="107"/>
      <c r="AU271" s="107"/>
      <c r="AV271" s="107"/>
      <c r="AW271" s="107"/>
      <c r="AX271" s="107"/>
      <c r="AY271" s="107"/>
      <c r="AZ271" s="107"/>
      <c r="BA271" s="107"/>
      <c r="BB271" s="107"/>
    </row>
    <row r="272" spans="1:54" ht="15" x14ac:dyDescent="0.25">
      <c r="A272" s="143" t="s">
        <v>401</v>
      </c>
      <c r="B272" s="15">
        <v>4</v>
      </c>
      <c r="C272" s="8">
        <v>2</v>
      </c>
      <c r="D272" s="8"/>
      <c r="E272" s="106"/>
      <c r="F272" s="13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c r="AZ272" s="106"/>
      <c r="BA272" s="106"/>
      <c r="BB272" s="106"/>
    </row>
    <row r="273" spans="1:54" ht="15" x14ac:dyDescent="0.25">
      <c r="A273" s="143" t="s">
        <v>403</v>
      </c>
      <c r="B273" s="15"/>
      <c r="C273" s="8">
        <v>1</v>
      </c>
      <c r="D273" s="8"/>
      <c r="E273" s="107"/>
      <c r="F273" s="137"/>
      <c r="G273" s="107"/>
      <c r="H273" s="107"/>
      <c r="I273" s="107"/>
      <c r="J273" s="107"/>
      <c r="K273" s="107"/>
      <c r="L273" s="107"/>
      <c r="M273" s="107"/>
      <c r="N273" s="107"/>
      <c r="O273" s="107"/>
      <c r="P273" s="107"/>
      <c r="Q273" s="107"/>
      <c r="R273" s="107"/>
      <c r="S273" s="107"/>
      <c r="T273" s="107"/>
      <c r="U273" s="107"/>
      <c r="V273" s="107"/>
      <c r="W273" s="107"/>
      <c r="X273" s="107"/>
      <c r="Y273" s="107"/>
      <c r="Z273" s="107"/>
      <c r="AA273" s="107"/>
      <c r="AB273" s="107"/>
      <c r="AC273" s="107"/>
      <c r="AD273" s="107"/>
      <c r="AE273" s="107"/>
      <c r="AF273" s="107"/>
      <c r="AG273" s="107"/>
      <c r="AH273" s="107"/>
      <c r="AI273" s="107"/>
      <c r="AJ273" s="107"/>
      <c r="AK273" s="107"/>
      <c r="AL273" s="107"/>
      <c r="AM273" s="107"/>
      <c r="AN273" s="107"/>
      <c r="AO273" s="107"/>
      <c r="AP273" s="107"/>
      <c r="AQ273" s="107"/>
      <c r="AR273" s="107"/>
      <c r="AS273" s="107"/>
      <c r="AT273" s="107"/>
      <c r="AU273" s="107"/>
      <c r="AV273" s="107"/>
      <c r="AW273" s="107"/>
      <c r="AX273" s="107"/>
      <c r="AY273" s="107"/>
      <c r="AZ273" s="107"/>
      <c r="BA273" s="107"/>
      <c r="BB273" s="107"/>
    </row>
    <row r="274" spans="1:54" ht="15" x14ac:dyDescent="0.25">
      <c r="A274" s="143" t="s">
        <v>455</v>
      </c>
      <c r="B274" s="15">
        <v>1</v>
      </c>
      <c r="C274" s="8">
        <v>1</v>
      </c>
      <c r="D274" s="8">
        <v>1</v>
      </c>
      <c r="E274" s="107"/>
      <c r="F274" s="137"/>
      <c r="G274" s="107"/>
      <c r="H274" s="107"/>
      <c r="I274" s="107"/>
      <c r="J274" s="107"/>
      <c r="K274" s="107"/>
      <c r="L274" s="107"/>
      <c r="M274" s="107"/>
      <c r="N274" s="107"/>
      <c r="O274" s="107"/>
      <c r="P274" s="107"/>
      <c r="Q274" s="107"/>
      <c r="R274" s="107"/>
      <c r="S274" s="107"/>
      <c r="T274" s="107"/>
      <c r="U274" s="107"/>
      <c r="V274" s="107"/>
      <c r="W274" s="107"/>
      <c r="X274" s="107"/>
      <c r="Y274" s="107"/>
      <c r="Z274" s="107"/>
      <c r="AA274" s="107"/>
      <c r="AB274" s="107"/>
      <c r="AC274" s="107"/>
      <c r="AD274" s="107"/>
      <c r="AE274" s="107"/>
      <c r="AF274" s="107"/>
      <c r="AG274" s="107"/>
      <c r="AH274" s="107"/>
      <c r="AI274" s="107"/>
      <c r="AJ274" s="107"/>
      <c r="AK274" s="107"/>
      <c r="AL274" s="107"/>
      <c r="AM274" s="107"/>
      <c r="AN274" s="107"/>
      <c r="AO274" s="107"/>
      <c r="AP274" s="107"/>
      <c r="AQ274" s="107"/>
      <c r="AR274" s="107"/>
      <c r="AS274" s="107"/>
      <c r="AT274" s="107"/>
      <c r="AU274" s="107"/>
      <c r="AV274" s="107"/>
      <c r="AW274" s="107"/>
      <c r="AX274" s="107"/>
      <c r="AY274" s="107"/>
      <c r="AZ274" s="107"/>
      <c r="BA274" s="107"/>
      <c r="BB274" s="107"/>
    </row>
    <row r="275" spans="1:54" ht="15" x14ac:dyDescent="0.25">
      <c r="A275" s="143"/>
      <c r="B275" s="15"/>
      <c r="C275" s="8"/>
      <c r="D275" s="8"/>
      <c r="E275" s="107"/>
      <c r="F275" s="137"/>
      <c r="G275" s="107"/>
      <c r="H275" s="107"/>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107"/>
      <c r="AH275" s="107"/>
      <c r="AI275" s="107"/>
      <c r="AJ275" s="107"/>
      <c r="AK275" s="107"/>
      <c r="AL275" s="107"/>
      <c r="AM275" s="107"/>
      <c r="AN275" s="107"/>
      <c r="AO275" s="107"/>
      <c r="AP275" s="107"/>
      <c r="AQ275" s="107"/>
      <c r="AR275" s="107"/>
      <c r="AS275" s="107"/>
      <c r="AT275" s="107"/>
      <c r="AU275" s="107"/>
      <c r="AV275" s="107"/>
      <c r="AW275" s="107"/>
      <c r="AX275" s="107"/>
      <c r="AY275" s="107"/>
      <c r="AZ275" s="107"/>
      <c r="BA275" s="107"/>
      <c r="BB275" s="107"/>
    </row>
    <row r="276" spans="1:54" ht="15" x14ac:dyDescent="0.25">
      <c r="A276" s="143"/>
      <c r="B276" s="15"/>
      <c r="C276" s="8"/>
      <c r="D276" s="8"/>
      <c r="E276" s="107"/>
      <c r="F276" s="137"/>
      <c r="G276" s="107"/>
      <c r="H276" s="107"/>
      <c r="I276" s="107"/>
      <c r="J276" s="107"/>
      <c r="K276" s="107"/>
      <c r="L276" s="107"/>
      <c r="M276" s="107"/>
      <c r="N276" s="107"/>
      <c r="O276" s="107"/>
      <c r="P276" s="107"/>
      <c r="Q276" s="107"/>
      <c r="R276" s="107"/>
      <c r="S276" s="107"/>
      <c r="T276" s="107"/>
      <c r="U276" s="107"/>
      <c r="V276" s="107"/>
      <c r="W276" s="107"/>
      <c r="X276" s="107"/>
      <c r="Y276" s="107"/>
      <c r="Z276" s="107"/>
      <c r="AA276" s="107"/>
      <c r="AB276" s="107"/>
      <c r="AC276" s="107"/>
      <c r="AD276" s="107"/>
      <c r="AE276" s="107"/>
      <c r="AF276" s="107"/>
      <c r="AG276" s="107"/>
      <c r="AH276" s="107"/>
      <c r="AI276" s="107"/>
      <c r="AJ276" s="107"/>
      <c r="AK276" s="107"/>
      <c r="AL276" s="107"/>
      <c r="AM276" s="107"/>
      <c r="AN276" s="107"/>
      <c r="AO276" s="107"/>
      <c r="AP276" s="107"/>
      <c r="AQ276" s="107"/>
      <c r="AR276" s="107"/>
      <c r="AS276" s="107"/>
      <c r="AT276" s="107"/>
      <c r="AU276" s="107"/>
      <c r="AV276" s="107"/>
      <c r="AW276" s="107"/>
      <c r="AX276" s="107"/>
      <c r="AY276" s="107"/>
      <c r="AZ276" s="107"/>
      <c r="BA276" s="107"/>
      <c r="BB276" s="107"/>
    </row>
    <row r="277" spans="1:54" ht="15" x14ac:dyDescent="0.25">
      <c r="A277" s="143"/>
      <c r="B277" s="15"/>
      <c r="C277" s="8"/>
      <c r="D277" s="8"/>
      <c r="E277" s="107"/>
      <c r="F277" s="137"/>
      <c r="G277" s="107"/>
      <c r="H277" s="107"/>
      <c r="I277" s="107"/>
      <c r="J277" s="107"/>
      <c r="K277" s="107"/>
      <c r="L277" s="107"/>
      <c r="M277" s="107"/>
      <c r="N277" s="107"/>
      <c r="O277" s="107"/>
      <c r="P277" s="107"/>
      <c r="Q277" s="107"/>
      <c r="R277" s="107"/>
      <c r="S277" s="107"/>
      <c r="T277" s="107"/>
      <c r="U277" s="107"/>
      <c r="V277" s="107"/>
      <c r="W277" s="107"/>
      <c r="X277" s="107"/>
      <c r="Y277" s="107"/>
      <c r="Z277" s="107"/>
      <c r="AA277" s="107"/>
      <c r="AB277" s="107"/>
      <c r="AC277" s="107"/>
      <c r="AD277" s="107"/>
      <c r="AE277" s="107"/>
      <c r="AF277" s="107"/>
      <c r="AG277" s="107"/>
      <c r="AH277" s="107"/>
      <c r="AI277" s="107"/>
      <c r="AJ277" s="107"/>
      <c r="AK277" s="107"/>
      <c r="AL277" s="107"/>
      <c r="AM277" s="107"/>
      <c r="AN277" s="107"/>
      <c r="AO277" s="107"/>
      <c r="AP277" s="107"/>
      <c r="AQ277" s="107"/>
      <c r="AR277" s="107"/>
      <c r="AS277" s="107"/>
      <c r="AT277" s="107"/>
      <c r="AU277" s="107"/>
      <c r="AV277" s="107"/>
      <c r="AW277" s="107"/>
      <c r="AX277" s="107"/>
      <c r="AY277" s="107"/>
      <c r="AZ277" s="107"/>
      <c r="BA277" s="107"/>
      <c r="BB277" s="107"/>
    </row>
    <row r="278" spans="1:54" ht="15" x14ac:dyDescent="0.25">
      <c r="A278" s="143"/>
      <c r="B278" s="15"/>
      <c r="C278" s="8"/>
      <c r="D278" s="8"/>
      <c r="E278" s="106"/>
      <c r="F278" s="13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c r="AZ278" s="106"/>
      <c r="BA278" s="106"/>
      <c r="BB278" s="106"/>
    </row>
    <row r="279" spans="1:54" ht="17.399999999999999" x14ac:dyDescent="0.3">
      <c r="A279" s="145" t="s">
        <v>799</v>
      </c>
      <c r="B279" s="74"/>
      <c r="C279" s="8"/>
      <c r="D279" s="8"/>
      <c r="E279" s="107"/>
      <c r="F279" s="137"/>
      <c r="G279" s="107"/>
      <c r="H279" s="107"/>
      <c r="I279" s="107"/>
      <c r="J279" s="107"/>
      <c r="K279" s="107"/>
      <c r="L279" s="107"/>
      <c r="M279" s="107"/>
      <c r="N279" s="107"/>
      <c r="O279" s="107"/>
      <c r="P279" s="107"/>
      <c r="Q279" s="107"/>
      <c r="R279" s="107"/>
      <c r="S279" s="107"/>
      <c r="T279" s="107"/>
      <c r="U279" s="107"/>
      <c r="V279" s="107"/>
      <c r="W279" s="107"/>
      <c r="X279" s="107"/>
      <c r="Y279" s="107"/>
      <c r="Z279" s="107"/>
      <c r="AA279" s="107"/>
      <c r="AB279" s="107"/>
      <c r="AC279" s="107"/>
      <c r="AD279" s="107"/>
      <c r="AE279" s="107"/>
      <c r="AF279" s="107"/>
      <c r="AG279" s="107"/>
      <c r="AH279" s="107"/>
      <c r="AI279" s="107"/>
      <c r="AJ279" s="107"/>
      <c r="AK279" s="107"/>
      <c r="AL279" s="107"/>
      <c r="AM279" s="107"/>
      <c r="AN279" s="107"/>
      <c r="AO279" s="107"/>
      <c r="AP279" s="107"/>
      <c r="AQ279" s="107"/>
      <c r="AR279" s="107"/>
      <c r="AS279" s="107"/>
      <c r="AT279" s="107"/>
      <c r="AU279" s="107"/>
      <c r="AV279" s="107"/>
      <c r="AW279" s="107"/>
      <c r="AX279" s="107"/>
      <c r="AY279" s="107"/>
      <c r="AZ279" s="107"/>
      <c r="BA279" s="107"/>
      <c r="BB279" s="107"/>
    </row>
    <row r="280" spans="1:54" ht="15" x14ac:dyDescent="0.25">
      <c r="A280" s="143" t="s">
        <v>397</v>
      </c>
      <c r="B280" s="15"/>
      <c r="C280" s="8">
        <v>1</v>
      </c>
      <c r="D280" s="8"/>
      <c r="E280" s="107"/>
      <c r="F280" s="137"/>
      <c r="G280" s="107"/>
      <c r="H280" s="107"/>
      <c r="I280" s="107"/>
      <c r="J280" s="107"/>
      <c r="K280" s="107"/>
      <c r="L280" s="107"/>
      <c r="M280" s="107"/>
      <c r="N280" s="107"/>
      <c r="O280" s="107"/>
      <c r="P280" s="107"/>
      <c r="Q280" s="107"/>
      <c r="R280" s="107"/>
      <c r="S280" s="107"/>
      <c r="T280" s="107"/>
      <c r="U280" s="107"/>
      <c r="V280" s="107"/>
      <c r="W280" s="107"/>
      <c r="X280" s="107"/>
      <c r="Y280" s="107"/>
      <c r="Z280" s="107"/>
      <c r="AA280" s="107"/>
      <c r="AB280" s="107"/>
      <c r="AC280" s="107"/>
      <c r="AD280" s="107"/>
      <c r="AE280" s="107"/>
      <c r="AF280" s="107"/>
      <c r="AG280" s="107"/>
      <c r="AH280" s="107"/>
      <c r="AI280" s="107"/>
      <c r="AJ280" s="107"/>
      <c r="AK280" s="107"/>
      <c r="AL280" s="107"/>
      <c r="AM280" s="107"/>
      <c r="AN280" s="107"/>
      <c r="AO280" s="107"/>
      <c r="AP280" s="107"/>
      <c r="AQ280" s="107"/>
      <c r="AR280" s="107"/>
      <c r="AS280" s="107"/>
      <c r="AT280" s="107"/>
      <c r="AU280" s="107"/>
      <c r="AV280" s="107"/>
      <c r="AW280" s="107"/>
      <c r="AX280" s="107"/>
      <c r="AY280" s="107"/>
      <c r="AZ280" s="107"/>
      <c r="BA280" s="107"/>
      <c r="BB280" s="107"/>
    </row>
    <row r="281" spans="1:54" ht="15" x14ac:dyDescent="0.25">
      <c r="A281" s="143" t="s">
        <v>428</v>
      </c>
      <c r="B281" s="15">
        <v>2</v>
      </c>
      <c r="C281" s="8">
        <v>4</v>
      </c>
      <c r="D281" s="8"/>
      <c r="E281" s="107"/>
      <c r="F281" s="137"/>
      <c r="G281" s="107"/>
      <c r="H281" s="107"/>
      <c r="I281" s="107"/>
      <c r="J281" s="107"/>
      <c r="K281" s="107"/>
      <c r="L281" s="107"/>
      <c r="M281" s="107"/>
      <c r="N281" s="107"/>
      <c r="O281" s="107"/>
      <c r="P281" s="107"/>
      <c r="Q281" s="107"/>
      <c r="R281" s="107"/>
      <c r="S281" s="107"/>
      <c r="T281" s="107"/>
      <c r="U281" s="107"/>
      <c r="V281" s="107"/>
      <c r="W281" s="107"/>
      <c r="X281" s="107"/>
      <c r="Y281" s="107"/>
      <c r="Z281" s="107"/>
      <c r="AA281" s="107"/>
      <c r="AB281" s="107"/>
      <c r="AC281" s="107"/>
      <c r="AD281" s="107"/>
      <c r="AE281" s="107"/>
      <c r="AF281" s="107"/>
      <c r="AG281" s="107"/>
      <c r="AH281" s="107"/>
      <c r="AI281" s="107"/>
      <c r="AJ281" s="107"/>
      <c r="AK281" s="107"/>
      <c r="AL281" s="107"/>
      <c r="AM281" s="107"/>
      <c r="AN281" s="107"/>
      <c r="AO281" s="107"/>
      <c r="AP281" s="107"/>
      <c r="AQ281" s="107"/>
      <c r="AR281" s="107"/>
      <c r="AS281" s="107"/>
      <c r="AT281" s="107"/>
      <c r="AU281" s="107"/>
      <c r="AV281" s="107"/>
      <c r="AW281" s="107"/>
      <c r="AX281" s="107"/>
      <c r="AY281" s="107"/>
      <c r="AZ281" s="107"/>
      <c r="BA281" s="107"/>
      <c r="BB281" s="107"/>
    </row>
    <row r="282" spans="1:54" ht="15" x14ac:dyDescent="0.25">
      <c r="A282" s="143" t="s">
        <v>429</v>
      </c>
      <c r="B282" s="15"/>
      <c r="C282" s="8"/>
      <c r="D282" s="8">
        <v>2</v>
      </c>
      <c r="E282" s="107"/>
      <c r="F282" s="137"/>
      <c r="G282" s="107"/>
      <c r="H282" s="107"/>
      <c r="I282" s="107"/>
      <c r="J282" s="107"/>
      <c r="K282" s="107"/>
      <c r="L282" s="107"/>
      <c r="M282" s="107"/>
      <c r="N282" s="107"/>
      <c r="O282" s="107"/>
      <c r="P282" s="107"/>
      <c r="Q282" s="107"/>
      <c r="R282" s="107"/>
      <c r="S282" s="107"/>
      <c r="T282" s="107"/>
      <c r="U282" s="107"/>
      <c r="V282" s="107"/>
      <c r="W282" s="107"/>
      <c r="X282" s="107"/>
      <c r="Y282" s="107"/>
      <c r="Z282" s="107"/>
      <c r="AA282" s="107"/>
      <c r="AB282" s="107"/>
      <c r="AC282" s="107"/>
      <c r="AD282" s="107"/>
      <c r="AE282" s="107"/>
      <c r="AF282" s="107"/>
      <c r="AG282" s="107"/>
      <c r="AH282" s="107"/>
      <c r="AI282" s="107"/>
      <c r="AJ282" s="107"/>
      <c r="AK282" s="107"/>
      <c r="AL282" s="107"/>
      <c r="AM282" s="107"/>
      <c r="AN282" s="107"/>
      <c r="AO282" s="107"/>
      <c r="AP282" s="107"/>
      <c r="AQ282" s="107"/>
      <c r="AR282" s="107"/>
      <c r="AS282" s="107"/>
      <c r="AT282" s="107"/>
      <c r="AU282" s="107"/>
      <c r="AV282" s="107"/>
      <c r="AW282" s="107"/>
      <c r="AX282" s="107"/>
      <c r="AY282" s="107"/>
      <c r="AZ282" s="107"/>
      <c r="BA282" s="107"/>
      <c r="BB282" s="107"/>
    </row>
    <row r="283" spans="1:54" ht="15" x14ac:dyDescent="0.25">
      <c r="A283" s="143" t="s">
        <v>433</v>
      </c>
      <c r="B283" s="15"/>
      <c r="C283" s="8">
        <v>5</v>
      </c>
      <c r="D283" s="8"/>
      <c r="E283" s="107"/>
      <c r="F283" s="137"/>
      <c r="G283" s="107"/>
      <c r="H283" s="107"/>
      <c r="I283" s="107"/>
      <c r="J283" s="107"/>
      <c r="K283" s="107"/>
      <c r="L283" s="107"/>
      <c r="M283" s="107"/>
      <c r="N283" s="107"/>
      <c r="O283" s="107"/>
      <c r="P283" s="107"/>
      <c r="Q283" s="107"/>
      <c r="R283" s="107"/>
      <c r="S283" s="107"/>
      <c r="T283" s="107"/>
      <c r="U283" s="107"/>
      <c r="V283" s="107"/>
      <c r="W283" s="107"/>
      <c r="X283" s="107"/>
      <c r="Y283" s="107"/>
      <c r="Z283" s="107"/>
      <c r="AA283" s="107"/>
      <c r="AB283" s="107"/>
      <c r="AC283" s="107"/>
      <c r="AD283" s="107"/>
      <c r="AE283" s="107"/>
      <c r="AF283" s="107"/>
      <c r="AG283" s="107"/>
      <c r="AH283" s="107"/>
      <c r="AI283" s="107"/>
      <c r="AJ283" s="107"/>
      <c r="AK283" s="107"/>
      <c r="AL283" s="107"/>
      <c r="AM283" s="107"/>
      <c r="AN283" s="107"/>
      <c r="AO283" s="107"/>
      <c r="AP283" s="107"/>
      <c r="AQ283" s="107"/>
      <c r="AR283" s="107"/>
      <c r="AS283" s="107"/>
      <c r="AT283" s="107"/>
      <c r="AU283" s="107"/>
      <c r="AV283" s="107"/>
      <c r="AW283" s="107"/>
      <c r="AX283" s="107"/>
      <c r="AY283" s="107"/>
      <c r="AZ283" s="107"/>
      <c r="BA283" s="107"/>
      <c r="BB283" s="107"/>
    </row>
    <row r="284" spans="1:54" ht="15" x14ac:dyDescent="0.25">
      <c r="A284" s="143" t="s">
        <v>438</v>
      </c>
      <c r="B284" s="15">
        <v>2</v>
      </c>
      <c r="C284" s="8">
        <v>4</v>
      </c>
      <c r="D284" s="8">
        <v>1</v>
      </c>
      <c r="E284" s="107"/>
      <c r="F284" s="137"/>
      <c r="G284" s="107"/>
      <c r="H284" s="107"/>
      <c r="I284" s="107"/>
      <c r="J284" s="107"/>
      <c r="K284" s="107"/>
      <c r="L284" s="107"/>
      <c r="M284" s="107"/>
      <c r="N284" s="107"/>
      <c r="O284" s="107"/>
      <c r="P284" s="107"/>
      <c r="Q284" s="107"/>
      <c r="R284" s="107"/>
      <c r="S284" s="107"/>
      <c r="T284" s="107"/>
      <c r="U284" s="107"/>
      <c r="V284" s="107"/>
      <c r="W284" s="107"/>
      <c r="X284" s="107"/>
      <c r="Y284" s="107"/>
      <c r="Z284" s="107"/>
      <c r="AA284" s="107"/>
      <c r="AB284" s="107"/>
      <c r="AC284" s="107"/>
      <c r="AD284" s="107"/>
      <c r="AE284" s="107"/>
      <c r="AF284" s="107"/>
      <c r="AG284" s="107"/>
      <c r="AH284" s="107"/>
      <c r="AI284" s="107"/>
      <c r="AJ284" s="107"/>
      <c r="AK284" s="107"/>
      <c r="AL284" s="107"/>
      <c r="AM284" s="107"/>
      <c r="AN284" s="107"/>
      <c r="AO284" s="107"/>
      <c r="AP284" s="107"/>
      <c r="AQ284" s="107"/>
      <c r="AR284" s="107"/>
      <c r="AS284" s="107"/>
      <c r="AT284" s="107"/>
      <c r="AU284" s="107"/>
      <c r="AV284" s="107"/>
      <c r="AW284" s="107"/>
      <c r="AX284" s="107"/>
      <c r="AY284" s="107"/>
      <c r="AZ284" s="107"/>
      <c r="BA284" s="107"/>
      <c r="BB284" s="107"/>
    </row>
    <row r="285" spans="1:54" ht="15" x14ac:dyDescent="0.25">
      <c r="A285" s="143" t="s">
        <v>413</v>
      </c>
      <c r="B285" s="15">
        <v>3</v>
      </c>
      <c r="C285" s="8">
        <v>2</v>
      </c>
      <c r="D285" s="8">
        <v>1</v>
      </c>
      <c r="E285" s="107"/>
      <c r="F285" s="137"/>
      <c r="G285" s="107"/>
      <c r="H285" s="107"/>
      <c r="I285" s="107"/>
      <c r="J285" s="107"/>
      <c r="K285" s="107"/>
      <c r="L285" s="107"/>
      <c r="M285" s="107"/>
      <c r="N285" s="107"/>
      <c r="O285" s="107"/>
      <c r="P285" s="107"/>
      <c r="Q285" s="107"/>
      <c r="R285" s="107"/>
      <c r="S285" s="107"/>
      <c r="T285" s="107"/>
      <c r="U285" s="107"/>
      <c r="V285" s="107"/>
      <c r="W285" s="107"/>
      <c r="X285" s="107"/>
      <c r="Y285" s="107"/>
      <c r="Z285" s="107"/>
      <c r="AA285" s="107"/>
      <c r="AB285" s="107"/>
      <c r="AC285" s="107"/>
      <c r="AD285" s="107"/>
      <c r="AE285" s="107"/>
      <c r="AF285" s="107"/>
      <c r="AG285" s="107"/>
      <c r="AH285" s="107"/>
      <c r="AI285" s="107"/>
      <c r="AJ285" s="107"/>
      <c r="AK285" s="107"/>
      <c r="AL285" s="107"/>
      <c r="AM285" s="107"/>
      <c r="AN285" s="107"/>
      <c r="AO285" s="107"/>
      <c r="AP285" s="107"/>
      <c r="AQ285" s="107"/>
      <c r="AR285" s="107"/>
      <c r="AS285" s="107"/>
      <c r="AT285" s="107"/>
      <c r="AU285" s="107"/>
      <c r="AV285" s="107"/>
      <c r="AW285" s="107"/>
      <c r="AX285" s="107"/>
      <c r="AY285" s="107"/>
      <c r="AZ285" s="107"/>
      <c r="BA285" s="107"/>
      <c r="BB285" s="107"/>
    </row>
    <row r="286" spans="1:54" ht="15" x14ac:dyDescent="0.25">
      <c r="A286" s="143" t="s">
        <v>412</v>
      </c>
      <c r="B286" s="15"/>
      <c r="C286" s="8">
        <v>1</v>
      </c>
      <c r="D286" s="8"/>
      <c r="E286" s="107"/>
      <c r="F286" s="137"/>
      <c r="G286" s="107"/>
      <c r="H286" s="107"/>
      <c r="I286" s="107"/>
      <c r="J286" s="107"/>
      <c r="K286" s="107"/>
      <c r="L286" s="107"/>
      <c r="M286" s="107"/>
      <c r="N286" s="107"/>
      <c r="O286" s="107"/>
      <c r="P286" s="107"/>
      <c r="Q286" s="107"/>
      <c r="R286" s="107"/>
      <c r="S286" s="107"/>
      <c r="T286" s="107"/>
      <c r="U286" s="107"/>
      <c r="V286" s="107"/>
      <c r="W286" s="107"/>
      <c r="X286" s="107"/>
      <c r="Y286" s="107"/>
      <c r="Z286" s="107"/>
      <c r="AA286" s="107"/>
      <c r="AB286" s="107"/>
      <c r="AC286" s="107"/>
      <c r="AD286" s="107"/>
      <c r="AE286" s="107"/>
      <c r="AF286" s="107"/>
      <c r="AG286" s="107"/>
      <c r="AH286" s="107"/>
      <c r="AI286" s="107"/>
      <c r="AJ286" s="107"/>
      <c r="AK286" s="107"/>
      <c r="AL286" s="107"/>
      <c r="AM286" s="107"/>
      <c r="AN286" s="107"/>
      <c r="AO286" s="107"/>
      <c r="AP286" s="107"/>
      <c r="AQ286" s="107"/>
      <c r="AR286" s="107"/>
      <c r="AS286" s="107"/>
      <c r="AT286" s="107"/>
      <c r="AU286" s="107"/>
      <c r="AV286" s="107"/>
      <c r="AW286" s="107"/>
      <c r="AX286" s="107"/>
      <c r="AY286" s="107"/>
      <c r="AZ286" s="107"/>
      <c r="BA286" s="107"/>
      <c r="BB286" s="107"/>
    </row>
    <row r="287" spans="1:54" ht="15" x14ac:dyDescent="0.25">
      <c r="A287" s="143" t="s">
        <v>419</v>
      </c>
      <c r="B287" s="15">
        <v>2</v>
      </c>
      <c r="C287" s="8">
        <v>2</v>
      </c>
      <c r="D287" s="8">
        <v>1</v>
      </c>
      <c r="E287" s="107"/>
      <c r="F287" s="137"/>
      <c r="G287" s="107"/>
      <c r="H287" s="107"/>
      <c r="I287" s="107"/>
      <c r="J287" s="107"/>
      <c r="K287" s="107"/>
      <c r="L287" s="107"/>
      <c r="M287" s="107"/>
      <c r="N287" s="107"/>
      <c r="O287" s="107"/>
      <c r="P287" s="107"/>
      <c r="Q287" s="107"/>
      <c r="R287" s="107"/>
      <c r="S287" s="107"/>
      <c r="T287" s="107"/>
      <c r="U287" s="107"/>
      <c r="V287" s="107"/>
      <c r="W287" s="107"/>
      <c r="X287" s="107"/>
      <c r="Y287" s="107"/>
      <c r="Z287" s="107"/>
      <c r="AA287" s="107"/>
      <c r="AB287" s="107"/>
      <c r="AC287" s="107"/>
      <c r="AD287" s="107"/>
      <c r="AE287" s="107"/>
      <c r="AF287" s="107"/>
      <c r="AG287" s="107"/>
      <c r="AH287" s="107"/>
      <c r="AI287" s="107"/>
      <c r="AJ287" s="107"/>
      <c r="AK287" s="107"/>
      <c r="AL287" s="107"/>
      <c r="AM287" s="107"/>
      <c r="AN287" s="107"/>
      <c r="AO287" s="107"/>
      <c r="AP287" s="107"/>
      <c r="AQ287" s="107"/>
      <c r="AR287" s="107"/>
      <c r="AS287" s="107"/>
      <c r="AT287" s="107"/>
      <c r="AU287" s="107"/>
      <c r="AV287" s="107"/>
      <c r="AW287" s="107"/>
      <c r="AX287" s="107"/>
      <c r="AY287" s="107"/>
      <c r="AZ287" s="107"/>
      <c r="BA287" s="107"/>
      <c r="BB287" s="107"/>
    </row>
    <row r="288" spans="1:54" ht="15" x14ac:dyDescent="0.25">
      <c r="A288" s="143" t="s">
        <v>427</v>
      </c>
      <c r="B288" s="15">
        <v>4</v>
      </c>
      <c r="C288" s="8">
        <v>2</v>
      </c>
      <c r="D288" s="8"/>
      <c r="E288" s="107"/>
      <c r="F288" s="137"/>
      <c r="G288" s="107"/>
      <c r="H288" s="107"/>
      <c r="I288" s="107"/>
      <c r="J288" s="107"/>
      <c r="K288" s="107"/>
      <c r="L288" s="107"/>
      <c r="M288" s="107"/>
      <c r="N288" s="107"/>
      <c r="O288" s="107"/>
      <c r="P288" s="107"/>
      <c r="Q288" s="107"/>
      <c r="R288" s="107"/>
      <c r="S288" s="107"/>
      <c r="T288" s="107"/>
      <c r="U288" s="107"/>
      <c r="V288" s="107"/>
      <c r="W288" s="107"/>
      <c r="X288" s="107"/>
      <c r="Y288" s="107"/>
      <c r="Z288" s="107"/>
      <c r="AA288" s="107"/>
      <c r="AB288" s="107"/>
      <c r="AC288" s="107"/>
      <c r="AD288" s="107"/>
      <c r="AE288" s="107"/>
      <c r="AF288" s="107"/>
      <c r="AG288" s="107"/>
      <c r="AH288" s="107"/>
      <c r="AI288" s="107"/>
      <c r="AJ288" s="107"/>
      <c r="AK288" s="107"/>
      <c r="AL288" s="107"/>
      <c r="AM288" s="107"/>
      <c r="AN288" s="107"/>
      <c r="AO288" s="107"/>
      <c r="AP288" s="107"/>
      <c r="AQ288" s="107"/>
      <c r="AR288" s="107"/>
      <c r="AS288" s="107"/>
      <c r="AT288" s="107"/>
      <c r="AU288" s="107"/>
      <c r="AV288" s="107"/>
      <c r="AW288" s="107"/>
      <c r="AX288" s="107"/>
      <c r="AY288" s="107"/>
      <c r="AZ288" s="107"/>
      <c r="BA288" s="107"/>
      <c r="BB288" s="107"/>
    </row>
    <row r="289" spans="1:54" ht="15" x14ac:dyDescent="0.25">
      <c r="A289" s="143" t="s">
        <v>536</v>
      </c>
      <c r="B289" s="15">
        <v>30</v>
      </c>
      <c r="C289" s="8">
        <v>10</v>
      </c>
      <c r="D289" s="8"/>
      <c r="E289" s="107"/>
      <c r="F289" s="137"/>
      <c r="G289" s="107"/>
      <c r="H289" s="107"/>
      <c r="I289" s="107"/>
      <c r="J289" s="107"/>
      <c r="K289" s="107"/>
      <c r="L289" s="107"/>
      <c r="M289" s="107"/>
      <c r="N289" s="107"/>
      <c r="O289" s="107"/>
      <c r="P289" s="107"/>
      <c r="Q289" s="107"/>
      <c r="R289" s="107"/>
      <c r="S289" s="107"/>
      <c r="T289" s="107"/>
      <c r="U289" s="107"/>
      <c r="V289" s="107"/>
      <c r="W289" s="107"/>
      <c r="X289" s="107"/>
      <c r="Y289" s="107"/>
      <c r="Z289" s="107"/>
      <c r="AA289" s="107"/>
      <c r="AB289" s="107"/>
      <c r="AC289" s="107"/>
      <c r="AD289" s="107"/>
      <c r="AE289" s="107"/>
      <c r="AF289" s="107"/>
      <c r="AG289" s="107"/>
      <c r="AH289" s="107"/>
      <c r="AI289" s="107"/>
      <c r="AJ289" s="107"/>
      <c r="AK289" s="107"/>
      <c r="AL289" s="107"/>
      <c r="AM289" s="107"/>
      <c r="AN289" s="107"/>
      <c r="AO289" s="107"/>
      <c r="AP289" s="107"/>
      <c r="AQ289" s="107"/>
      <c r="AR289" s="107"/>
      <c r="AS289" s="107"/>
      <c r="AT289" s="107"/>
      <c r="AU289" s="107"/>
      <c r="AV289" s="107"/>
      <c r="AW289" s="107"/>
      <c r="AX289" s="107"/>
      <c r="AY289" s="107"/>
      <c r="AZ289" s="107"/>
      <c r="BA289" s="107"/>
      <c r="BB289" s="107"/>
    </row>
    <row r="290" spans="1:54" ht="15" x14ac:dyDescent="0.25">
      <c r="A290" s="143" t="s">
        <v>576</v>
      </c>
      <c r="B290" s="15">
        <v>50</v>
      </c>
      <c r="C290" s="8">
        <v>20</v>
      </c>
      <c r="D290" s="8">
        <v>20</v>
      </c>
      <c r="E290" s="107"/>
      <c r="F290" s="137"/>
      <c r="G290" s="107"/>
      <c r="H290" s="107"/>
      <c r="I290" s="107"/>
      <c r="J290" s="107"/>
      <c r="K290" s="107"/>
      <c r="L290" s="107"/>
      <c r="M290" s="107"/>
      <c r="N290" s="107"/>
      <c r="O290" s="107"/>
      <c r="P290" s="107"/>
      <c r="Q290" s="107"/>
      <c r="R290" s="107"/>
      <c r="S290" s="107"/>
      <c r="T290" s="107"/>
      <c r="U290" s="107"/>
      <c r="V290" s="107"/>
      <c r="W290" s="107"/>
      <c r="X290" s="107"/>
      <c r="Y290" s="107"/>
      <c r="Z290" s="107"/>
      <c r="AA290" s="107"/>
      <c r="AB290" s="107"/>
      <c r="AC290" s="107"/>
      <c r="AD290" s="107"/>
      <c r="AE290" s="107"/>
      <c r="AF290" s="107"/>
      <c r="AG290" s="107"/>
      <c r="AH290" s="107"/>
      <c r="AI290" s="107"/>
      <c r="AJ290" s="107"/>
      <c r="AK290" s="107"/>
      <c r="AL290" s="107"/>
      <c r="AM290" s="107"/>
      <c r="AN290" s="107"/>
      <c r="AO290" s="107"/>
      <c r="AP290" s="107"/>
      <c r="AQ290" s="107"/>
      <c r="AR290" s="107"/>
      <c r="AS290" s="107"/>
      <c r="AT290" s="107"/>
      <c r="AU290" s="107"/>
      <c r="AV290" s="107"/>
      <c r="AW290" s="107"/>
      <c r="AX290" s="107"/>
      <c r="AY290" s="107"/>
      <c r="AZ290" s="107"/>
      <c r="BA290" s="107"/>
      <c r="BB290" s="107"/>
    </row>
    <row r="291" spans="1:54" ht="15" x14ac:dyDescent="0.25">
      <c r="A291" s="143" t="s">
        <v>554</v>
      </c>
      <c r="B291" s="15">
        <v>20</v>
      </c>
      <c r="C291" s="8">
        <v>50</v>
      </c>
      <c r="D291" s="8">
        <v>170</v>
      </c>
      <c r="E291" s="107"/>
      <c r="F291" s="137"/>
      <c r="G291" s="107"/>
      <c r="H291" s="107"/>
      <c r="I291" s="107"/>
      <c r="J291" s="107"/>
      <c r="K291" s="107"/>
      <c r="L291" s="107"/>
      <c r="M291" s="107"/>
      <c r="N291" s="107"/>
      <c r="O291" s="107"/>
      <c r="P291" s="107"/>
      <c r="Q291" s="107"/>
      <c r="R291" s="107"/>
      <c r="S291" s="107"/>
      <c r="T291" s="107"/>
      <c r="U291" s="107"/>
      <c r="V291" s="107"/>
      <c r="W291" s="107"/>
      <c r="X291" s="107"/>
      <c r="Y291" s="107"/>
      <c r="Z291" s="107"/>
      <c r="AA291" s="107"/>
      <c r="AB291" s="107"/>
      <c r="AC291" s="107"/>
      <c r="AD291" s="107"/>
      <c r="AE291" s="107"/>
      <c r="AF291" s="107"/>
      <c r="AG291" s="107"/>
      <c r="AH291" s="107"/>
      <c r="AI291" s="107"/>
      <c r="AJ291" s="107"/>
      <c r="AK291" s="107"/>
      <c r="AL291" s="107"/>
      <c r="AM291" s="107"/>
      <c r="AN291" s="107"/>
      <c r="AO291" s="107"/>
      <c r="AP291" s="107"/>
      <c r="AQ291" s="107"/>
      <c r="AR291" s="107"/>
      <c r="AS291" s="107"/>
      <c r="AT291" s="107"/>
      <c r="AU291" s="107"/>
      <c r="AV291" s="107"/>
      <c r="AW291" s="107"/>
      <c r="AX291" s="107"/>
      <c r="AY291" s="107"/>
      <c r="AZ291" s="107"/>
      <c r="BA291" s="107"/>
      <c r="BB291" s="107"/>
    </row>
    <row r="292" spans="1:54" ht="15" x14ac:dyDescent="0.25">
      <c r="A292" s="143" t="s">
        <v>557</v>
      </c>
      <c r="B292" s="15"/>
      <c r="C292" s="8">
        <v>15</v>
      </c>
      <c r="D292" s="8">
        <v>10</v>
      </c>
      <c r="E292" s="107"/>
      <c r="F292" s="137"/>
      <c r="G292" s="107"/>
      <c r="H292" s="107"/>
      <c r="I292" s="107"/>
      <c r="J292" s="107"/>
      <c r="K292" s="107"/>
      <c r="L292" s="107"/>
      <c r="M292" s="107"/>
      <c r="N292" s="107"/>
      <c r="O292" s="107"/>
      <c r="P292" s="107"/>
      <c r="Q292" s="107"/>
      <c r="R292" s="107"/>
      <c r="S292" s="107"/>
      <c r="T292" s="107"/>
      <c r="U292" s="107"/>
      <c r="V292" s="107"/>
      <c r="W292" s="107"/>
      <c r="X292" s="107"/>
      <c r="Y292" s="107"/>
      <c r="Z292" s="107"/>
      <c r="AA292" s="107"/>
      <c r="AB292" s="107"/>
      <c r="AC292" s="107"/>
      <c r="AD292" s="107"/>
      <c r="AE292" s="107"/>
      <c r="AF292" s="107"/>
      <c r="AG292" s="107"/>
      <c r="AH292" s="107"/>
      <c r="AI292" s="107"/>
      <c r="AJ292" s="107"/>
      <c r="AK292" s="107"/>
      <c r="AL292" s="107"/>
      <c r="AM292" s="107"/>
      <c r="AN292" s="107"/>
      <c r="AO292" s="107"/>
      <c r="AP292" s="107"/>
      <c r="AQ292" s="107"/>
      <c r="AR292" s="107"/>
      <c r="AS292" s="107"/>
      <c r="AT292" s="107"/>
      <c r="AU292" s="107"/>
      <c r="AV292" s="107"/>
      <c r="AW292" s="107"/>
      <c r="AX292" s="107"/>
      <c r="AY292" s="107"/>
      <c r="AZ292" s="107"/>
      <c r="BA292" s="107"/>
      <c r="BB292" s="107"/>
    </row>
    <row r="293" spans="1:54" ht="15" x14ac:dyDescent="0.25">
      <c r="A293" s="143" t="s">
        <v>447</v>
      </c>
      <c r="B293" s="15">
        <v>1</v>
      </c>
      <c r="C293" s="8">
        <v>3</v>
      </c>
      <c r="D293" s="8">
        <v>2</v>
      </c>
      <c r="E293" s="107"/>
      <c r="F293" s="137"/>
      <c r="G293" s="107"/>
      <c r="H293" s="107"/>
      <c r="I293" s="107"/>
      <c r="J293" s="107"/>
      <c r="K293" s="107"/>
      <c r="L293" s="107"/>
      <c r="M293" s="107"/>
      <c r="N293" s="107"/>
      <c r="O293" s="107"/>
      <c r="P293" s="107"/>
      <c r="Q293" s="107"/>
      <c r="R293" s="107"/>
      <c r="S293" s="107"/>
      <c r="T293" s="107"/>
      <c r="U293" s="107"/>
      <c r="V293" s="107"/>
      <c r="W293" s="107"/>
      <c r="X293" s="107"/>
      <c r="Y293" s="107"/>
      <c r="Z293" s="107"/>
      <c r="AA293" s="107"/>
      <c r="AB293" s="107"/>
      <c r="AC293" s="107"/>
      <c r="AD293" s="107"/>
      <c r="AE293" s="107"/>
      <c r="AF293" s="107"/>
      <c r="AG293" s="107"/>
      <c r="AH293" s="107"/>
      <c r="AI293" s="107"/>
      <c r="AJ293" s="107"/>
      <c r="AK293" s="107"/>
      <c r="AL293" s="107"/>
      <c r="AM293" s="107"/>
      <c r="AN293" s="107"/>
      <c r="AO293" s="107"/>
      <c r="AP293" s="107"/>
      <c r="AQ293" s="107"/>
      <c r="AR293" s="107"/>
      <c r="AS293" s="107"/>
      <c r="AT293" s="107"/>
      <c r="AU293" s="107"/>
      <c r="AV293" s="107"/>
      <c r="AW293" s="107"/>
      <c r="AX293" s="107"/>
      <c r="AY293" s="107"/>
      <c r="AZ293" s="107"/>
      <c r="BA293" s="107"/>
      <c r="BB293" s="107"/>
    </row>
    <row r="294" spans="1:54" ht="15" x14ac:dyDescent="0.25">
      <c r="A294" s="143" t="s">
        <v>449</v>
      </c>
      <c r="B294" s="15">
        <v>5</v>
      </c>
      <c r="C294" s="8">
        <v>3</v>
      </c>
      <c r="D294" s="8">
        <v>1</v>
      </c>
      <c r="E294" s="107"/>
      <c r="F294" s="137"/>
      <c r="G294" s="107"/>
      <c r="H294" s="107"/>
      <c r="I294" s="107"/>
      <c r="J294" s="107"/>
      <c r="K294" s="107"/>
      <c r="L294" s="107"/>
      <c r="M294" s="107"/>
      <c r="N294" s="107"/>
      <c r="O294" s="107"/>
      <c r="P294" s="107"/>
      <c r="Q294" s="107"/>
      <c r="R294" s="107"/>
      <c r="S294" s="107"/>
      <c r="T294" s="107"/>
      <c r="U294" s="107"/>
      <c r="V294" s="107"/>
      <c r="W294" s="107"/>
      <c r="X294" s="107"/>
      <c r="Y294" s="107"/>
      <c r="Z294" s="107"/>
      <c r="AA294" s="107"/>
      <c r="AB294" s="107"/>
      <c r="AC294" s="107"/>
      <c r="AD294" s="107"/>
      <c r="AE294" s="107"/>
      <c r="AF294" s="107"/>
      <c r="AG294" s="107"/>
      <c r="AH294" s="107"/>
      <c r="AI294" s="107"/>
      <c r="AJ294" s="107"/>
      <c r="AK294" s="107"/>
      <c r="AL294" s="107"/>
      <c r="AM294" s="107"/>
      <c r="AN294" s="107"/>
      <c r="AO294" s="107"/>
      <c r="AP294" s="107"/>
      <c r="AQ294" s="107"/>
      <c r="AR294" s="107"/>
      <c r="AS294" s="107"/>
      <c r="AT294" s="107"/>
      <c r="AU294" s="107"/>
      <c r="AV294" s="107"/>
      <c r="AW294" s="107"/>
      <c r="AX294" s="107"/>
      <c r="AY294" s="107"/>
      <c r="AZ294" s="107"/>
      <c r="BA294" s="107"/>
      <c r="BB294" s="107"/>
    </row>
    <row r="295" spans="1:54" ht="15" x14ac:dyDescent="0.25">
      <c r="A295" s="143" t="s">
        <v>450</v>
      </c>
      <c r="B295" s="15">
        <v>1</v>
      </c>
      <c r="C295" s="8">
        <v>1</v>
      </c>
      <c r="D295" s="8">
        <v>1</v>
      </c>
      <c r="E295" s="107"/>
      <c r="F295" s="137"/>
      <c r="G295" s="107"/>
      <c r="H295" s="107"/>
      <c r="I295" s="107"/>
      <c r="J295" s="107"/>
      <c r="K295" s="107"/>
      <c r="L295" s="107"/>
      <c r="M295" s="107"/>
      <c r="N295" s="107"/>
      <c r="O295" s="107"/>
      <c r="P295" s="107"/>
      <c r="Q295" s="107"/>
      <c r="R295" s="107"/>
      <c r="S295" s="107"/>
      <c r="T295" s="107"/>
      <c r="U295" s="107"/>
      <c r="V295" s="107"/>
      <c r="W295" s="107"/>
      <c r="X295" s="107"/>
      <c r="Y295" s="107"/>
      <c r="Z295" s="107"/>
      <c r="AA295" s="107"/>
      <c r="AB295" s="107"/>
      <c r="AC295" s="107"/>
      <c r="AD295" s="107"/>
      <c r="AE295" s="107"/>
      <c r="AF295" s="107"/>
      <c r="AG295" s="107"/>
      <c r="AH295" s="107"/>
      <c r="AI295" s="107"/>
      <c r="AJ295" s="107"/>
      <c r="AK295" s="107"/>
      <c r="AL295" s="107"/>
      <c r="AM295" s="107"/>
      <c r="AN295" s="107"/>
      <c r="AO295" s="107"/>
      <c r="AP295" s="107"/>
      <c r="AQ295" s="107"/>
      <c r="AR295" s="107"/>
      <c r="AS295" s="107"/>
      <c r="AT295" s="107"/>
      <c r="AU295" s="107"/>
      <c r="AV295" s="107"/>
      <c r="AW295" s="107"/>
      <c r="AX295" s="107"/>
      <c r="AY295" s="107"/>
      <c r="AZ295" s="107"/>
      <c r="BA295" s="107"/>
      <c r="BB295" s="107"/>
    </row>
    <row r="296" spans="1:54" ht="15" x14ac:dyDescent="0.25">
      <c r="A296" s="143" t="s">
        <v>455</v>
      </c>
      <c r="B296" s="15">
        <v>2</v>
      </c>
      <c r="C296" s="8">
        <v>2</v>
      </c>
      <c r="D296" s="8"/>
      <c r="E296" s="107"/>
      <c r="F296" s="137"/>
      <c r="G296" s="107"/>
      <c r="H296" s="107"/>
      <c r="I296" s="107"/>
      <c r="J296" s="107"/>
      <c r="K296" s="107"/>
      <c r="L296" s="107"/>
      <c r="M296" s="107"/>
      <c r="N296" s="107"/>
      <c r="O296" s="107"/>
      <c r="P296" s="107"/>
      <c r="Q296" s="107"/>
      <c r="R296" s="107"/>
      <c r="S296" s="107"/>
      <c r="T296" s="107"/>
      <c r="U296" s="107"/>
      <c r="V296" s="107"/>
      <c r="W296" s="107"/>
      <c r="X296" s="107"/>
      <c r="Y296" s="107"/>
      <c r="Z296" s="107"/>
      <c r="AA296" s="107"/>
      <c r="AB296" s="107"/>
      <c r="AC296" s="107"/>
      <c r="AD296" s="107"/>
      <c r="AE296" s="107"/>
      <c r="AF296" s="107"/>
      <c r="AG296" s="107"/>
      <c r="AH296" s="107"/>
      <c r="AI296" s="107"/>
      <c r="AJ296" s="107"/>
      <c r="AK296" s="107"/>
      <c r="AL296" s="107"/>
      <c r="AM296" s="107"/>
      <c r="AN296" s="107"/>
      <c r="AO296" s="107"/>
      <c r="AP296" s="107"/>
      <c r="AQ296" s="107"/>
      <c r="AR296" s="107"/>
      <c r="AS296" s="107"/>
      <c r="AT296" s="107"/>
      <c r="AU296" s="107"/>
      <c r="AV296" s="107"/>
      <c r="AW296" s="107"/>
      <c r="AX296" s="107"/>
      <c r="AY296" s="107"/>
      <c r="AZ296" s="107"/>
      <c r="BA296" s="107"/>
      <c r="BB296" s="107"/>
    </row>
    <row r="297" spans="1:54" ht="15" x14ac:dyDescent="0.25">
      <c r="A297" s="143"/>
      <c r="B297" s="15"/>
      <c r="C297" s="8"/>
      <c r="D297" s="8"/>
      <c r="E297" s="107"/>
      <c r="F297" s="137"/>
      <c r="G297" s="107"/>
      <c r="H297" s="107"/>
      <c r="I297" s="107"/>
      <c r="J297" s="107"/>
      <c r="K297" s="107"/>
      <c r="L297" s="107"/>
      <c r="M297" s="107"/>
      <c r="N297" s="107"/>
      <c r="O297" s="107"/>
      <c r="P297" s="107"/>
      <c r="Q297" s="107"/>
      <c r="R297" s="107"/>
      <c r="S297" s="107"/>
      <c r="T297" s="107"/>
      <c r="U297" s="107"/>
      <c r="V297" s="107"/>
      <c r="W297" s="107"/>
      <c r="X297" s="107"/>
      <c r="Y297" s="107"/>
      <c r="Z297" s="107"/>
      <c r="AA297" s="107"/>
      <c r="AB297" s="107"/>
      <c r="AC297" s="107"/>
      <c r="AD297" s="107"/>
      <c r="AE297" s="107"/>
      <c r="AF297" s="107"/>
      <c r="AG297" s="107"/>
      <c r="AH297" s="107"/>
      <c r="AI297" s="107"/>
      <c r="AJ297" s="107"/>
      <c r="AK297" s="107"/>
      <c r="AL297" s="107"/>
      <c r="AM297" s="107"/>
      <c r="AN297" s="107"/>
      <c r="AO297" s="107"/>
      <c r="AP297" s="107"/>
      <c r="AQ297" s="107"/>
      <c r="AR297" s="107"/>
      <c r="AS297" s="107"/>
      <c r="AT297" s="107"/>
      <c r="AU297" s="107"/>
      <c r="AV297" s="107"/>
      <c r="AW297" s="107"/>
      <c r="AX297" s="107"/>
      <c r="AY297" s="107"/>
      <c r="AZ297" s="107"/>
      <c r="BA297" s="107"/>
      <c r="BB297" s="107"/>
    </row>
    <row r="298" spans="1:54" ht="15" x14ac:dyDescent="0.25">
      <c r="A298" s="143"/>
      <c r="B298" s="15"/>
      <c r="C298" s="8"/>
      <c r="D298" s="8"/>
      <c r="E298" s="107"/>
      <c r="F298" s="137"/>
      <c r="G298" s="107"/>
      <c r="H298" s="107"/>
      <c r="I298" s="107"/>
      <c r="J298" s="107"/>
      <c r="K298" s="107"/>
      <c r="L298" s="107"/>
      <c r="M298" s="107"/>
      <c r="N298" s="107"/>
      <c r="O298" s="107"/>
      <c r="P298" s="107"/>
      <c r="Q298" s="107"/>
      <c r="R298" s="107"/>
      <c r="S298" s="107"/>
      <c r="T298" s="107"/>
      <c r="U298" s="107"/>
      <c r="V298" s="107"/>
      <c r="W298" s="107"/>
      <c r="X298" s="107"/>
      <c r="Y298" s="107"/>
      <c r="Z298" s="107"/>
      <c r="AA298" s="107"/>
      <c r="AB298" s="107"/>
      <c r="AC298" s="107"/>
      <c r="AD298" s="107"/>
      <c r="AE298" s="107"/>
      <c r="AF298" s="107"/>
      <c r="AG298" s="107"/>
      <c r="AH298" s="107"/>
      <c r="AI298" s="107"/>
      <c r="AJ298" s="107"/>
      <c r="AK298" s="107"/>
      <c r="AL298" s="107"/>
      <c r="AM298" s="107"/>
      <c r="AN298" s="107"/>
      <c r="AO298" s="107"/>
      <c r="AP298" s="107"/>
      <c r="AQ298" s="107"/>
      <c r="AR298" s="107"/>
      <c r="AS298" s="107"/>
      <c r="AT298" s="107"/>
      <c r="AU298" s="107"/>
      <c r="AV298" s="107"/>
      <c r="AW298" s="107"/>
      <c r="AX298" s="107"/>
      <c r="AY298" s="107"/>
      <c r="AZ298" s="107"/>
      <c r="BA298" s="107"/>
      <c r="BB298" s="107"/>
    </row>
    <row r="299" spans="1:54" ht="15" x14ac:dyDescent="0.25">
      <c r="A299" s="143"/>
      <c r="B299" s="15"/>
      <c r="C299" s="8"/>
      <c r="D299" s="8"/>
      <c r="E299" s="106"/>
      <c r="F299" s="13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c r="AZ299" s="106"/>
      <c r="BA299" s="106"/>
      <c r="BB299" s="106"/>
    </row>
    <row r="300" spans="1:54" ht="17.399999999999999" x14ac:dyDescent="0.3">
      <c r="A300" s="145" t="s">
        <v>800</v>
      </c>
      <c r="B300" s="74"/>
      <c r="C300" s="8"/>
      <c r="D300" s="8"/>
      <c r="E300" s="107"/>
      <c r="F300" s="137"/>
      <c r="G300" s="107"/>
      <c r="H300" s="107"/>
      <c r="I300" s="107"/>
      <c r="J300" s="107"/>
      <c r="K300" s="107"/>
      <c r="L300" s="107"/>
      <c r="M300" s="107"/>
      <c r="N300" s="107"/>
      <c r="O300" s="107"/>
      <c r="P300" s="107"/>
      <c r="Q300" s="107"/>
      <c r="R300" s="107"/>
      <c r="S300" s="107"/>
      <c r="T300" s="107"/>
      <c r="U300" s="107"/>
      <c r="V300" s="107"/>
      <c r="W300" s="107"/>
      <c r="X300" s="107"/>
      <c r="Y300" s="107"/>
      <c r="Z300" s="107"/>
      <c r="AA300" s="107"/>
      <c r="AB300" s="107"/>
      <c r="AC300" s="107"/>
      <c r="AD300" s="107"/>
      <c r="AE300" s="107"/>
      <c r="AF300" s="107"/>
      <c r="AG300" s="107"/>
      <c r="AH300" s="107"/>
      <c r="AI300" s="107"/>
      <c r="AJ300" s="107"/>
      <c r="AK300" s="107"/>
      <c r="AL300" s="107"/>
      <c r="AM300" s="107"/>
      <c r="AN300" s="107"/>
      <c r="AO300" s="107"/>
      <c r="AP300" s="107"/>
      <c r="AQ300" s="107"/>
      <c r="AR300" s="107"/>
      <c r="AS300" s="107"/>
      <c r="AT300" s="107"/>
      <c r="AU300" s="107"/>
      <c r="AV300" s="107"/>
      <c r="AW300" s="107"/>
      <c r="AX300" s="107"/>
      <c r="AY300" s="107"/>
      <c r="AZ300" s="107"/>
      <c r="BA300" s="107"/>
      <c r="BB300" s="107"/>
    </row>
    <row r="301" spans="1:54" ht="15" x14ac:dyDescent="0.25">
      <c r="A301" s="143" t="s">
        <v>428</v>
      </c>
      <c r="B301" s="15">
        <v>10</v>
      </c>
      <c r="C301" s="8">
        <v>10</v>
      </c>
      <c r="D301" s="8"/>
      <c r="E301" s="107"/>
      <c r="F301" s="137"/>
      <c r="G301" s="107"/>
      <c r="H301" s="107"/>
      <c r="I301" s="107"/>
      <c r="J301" s="107"/>
      <c r="K301" s="107"/>
      <c r="L301" s="107"/>
      <c r="M301" s="107"/>
      <c r="N301" s="107"/>
      <c r="O301" s="107"/>
      <c r="P301" s="107"/>
      <c r="Q301" s="107"/>
      <c r="R301" s="107"/>
      <c r="S301" s="107"/>
      <c r="T301" s="107"/>
      <c r="U301" s="107"/>
      <c r="V301" s="107"/>
      <c r="W301" s="107"/>
      <c r="X301" s="107"/>
      <c r="Y301" s="107"/>
      <c r="Z301" s="107"/>
      <c r="AA301" s="107"/>
      <c r="AB301" s="107"/>
      <c r="AC301" s="107"/>
      <c r="AD301" s="107"/>
      <c r="AE301" s="107"/>
      <c r="AF301" s="107"/>
      <c r="AG301" s="107"/>
      <c r="AH301" s="107"/>
      <c r="AI301" s="107"/>
      <c r="AJ301" s="107"/>
      <c r="AK301" s="107"/>
      <c r="AL301" s="107"/>
      <c r="AM301" s="107"/>
      <c r="AN301" s="107"/>
      <c r="AO301" s="107"/>
      <c r="AP301" s="107"/>
      <c r="AQ301" s="107"/>
      <c r="AR301" s="107"/>
      <c r="AS301" s="107"/>
      <c r="AT301" s="107"/>
      <c r="AU301" s="107"/>
      <c r="AV301" s="107"/>
      <c r="AW301" s="107"/>
      <c r="AX301" s="107"/>
      <c r="AY301" s="107"/>
      <c r="AZ301" s="107"/>
      <c r="BA301" s="107"/>
      <c r="BB301" s="107"/>
    </row>
    <row r="302" spans="1:54" ht="15" x14ac:dyDescent="0.25">
      <c r="A302" s="143" t="s">
        <v>429</v>
      </c>
      <c r="B302" s="15"/>
      <c r="C302" s="8"/>
      <c r="D302" s="8">
        <v>5</v>
      </c>
      <c r="E302" s="107"/>
      <c r="F302" s="137"/>
      <c r="G302" s="107"/>
      <c r="H302" s="107"/>
      <c r="I302" s="107"/>
      <c r="J302" s="107"/>
      <c r="K302" s="107"/>
      <c r="L302" s="107"/>
      <c r="M302" s="107"/>
      <c r="N302" s="107"/>
      <c r="O302" s="107"/>
      <c r="P302" s="107"/>
      <c r="Q302" s="107"/>
      <c r="R302" s="107"/>
      <c r="S302" s="107"/>
      <c r="T302" s="107"/>
      <c r="U302" s="107"/>
      <c r="V302" s="107"/>
      <c r="W302" s="107"/>
      <c r="X302" s="107"/>
      <c r="Y302" s="107"/>
      <c r="Z302" s="107"/>
      <c r="AA302" s="107"/>
      <c r="AB302" s="107"/>
      <c r="AC302" s="107"/>
      <c r="AD302" s="107"/>
      <c r="AE302" s="107"/>
      <c r="AF302" s="107"/>
      <c r="AG302" s="107"/>
      <c r="AH302" s="107"/>
      <c r="AI302" s="107"/>
      <c r="AJ302" s="107"/>
      <c r="AK302" s="107"/>
      <c r="AL302" s="107"/>
      <c r="AM302" s="107"/>
      <c r="AN302" s="107"/>
      <c r="AO302" s="107"/>
      <c r="AP302" s="107"/>
      <c r="AQ302" s="107"/>
      <c r="AR302" s="107"/>
      <c r="AS302" s="107"/>
      <c r="AT302" s="107"/>
      <c r="AU302" s="107"/>
      <c r="AV302" s="107"/>
      <c r="AW302" s="107"/>
      <c r="AX302" s="107"/>
      <c r="AY302" s="107"/>
      <c r="AZ302" s="107"/>
      <c r="BA302" s="107"/>
      <c r="BB302" s="107"/>
    </row>
    <row r="303" spans="1:54" ht="15" x14ac:dyDescent="0.25">
      <c r="A303" s="143" t="s">
        <v>433</v>
      </c>
      <c r="B303" s="15">
        <v>17</v>
      </c>
      <c r="C303" s="8">
        <v>10</v>
      </c>
      <c r="D303" s="8">
        <v>5</v>
      </c>
      <c r="E303" s="107"/>
      <c r="F303" s="137"/>
      <c r="G303" s="107"/>
      <c r="H303" s="107"/>
      <c r="I303" s="107"/>
      <c r="J303" s="107"/>
      <c r="K303" s="107"/>
      <c r="L303" s="107"/>
      <c r="M303" s="107"/>
      <c r="N303" s="107"/>
      <c r="O303" s="107"/>
      <c r="P303" s="107"/>
      <c r="Q303" s="107"/>
      <c r="R303" s="107"/>
      <c r="S303" s="107"/>
      <c r="T303" s="107"/>
      <c r="U303" s="107"/>
      <c r="V303" s="107"/>
      <c r="W303" s="107"/>
      <c r="X303" s="107"/>
      <c r="Y303" s="107"/>
      <c r="Z303" s="107"/>
      <c r="AA303" s="107"/>
      <c r="AB303" s="107"/>
      <c r="AC303" s="107"/>
      <c r="AD303" s="107"/>
      <c r="AE303" s="107"/>
      <c r="AF303" s="107"/>
      <c r="AG303" s="107"/>
      <c r="AH303" s="107"/>
      <c r="AI303" s="107"/>
      <c r="AJ303" s="107"/>
      <c r="AK303" s="107"/>
      <c r="AL303" s="107"/>
      <c r="AM303" s="107"/>
      <c r="AN303" s="107"/>
      <c r="AO303" s="107"/>
      <c r="AP303" s="107"/>
      <c r="AQ303" s="107"/>
      <c r="AR303" s="107"/>
      <c r="AS303" s="107"/>
      <c r="AT303" s="107"/>
      <c r="AU303" s="107"/>
      <c r="AV303" s="107"/>
      <c r="AW303" s="107"/>
      <c r="AX303" s="107"/>
      <c r="AY303" s="107"/>
      <c r="AZ303" s="107"/>
      <c r="BA303" s="107"/>
      <c r="BB303" s="107"/>
    </row>
    <row r="304" spans="1:54" ht="15" x14ac:dyDescent="0.25">
      <c r="A304" s="143" t="s">
        <v>438</v>
      </c>
      <c r="B304" s="15">
        <v>2</v>
      </c>
      <c r="C304" s="8">
        <v>4</v>
      </c>
      <c r="D304" s="8">
        <v>5</v>
      </c>
      <c r="E304" s="107"/>
      <c r="F304" s="137"/>
      <c r="G304" s="107"/>
      <c r="H304" s="107"/>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107"/>
      <c r="AH304" s="107"/>
      <c r="AI304" s="107"/>
      <c r="AJ304" s="107"/>
      <c r="AK304" s="107"/>
      <c r="AL304" s="107"/>
      <c r="AM304" s="107"/>
      <c r="AN304" s="107"/>
      <c r="AO304" s="107"/>
      <c r="AP304" s="107"/>
      <c r="AQ304" s="107"/>
      <c r="AR304" s="107"/>
      <c r="AS304" s="107"/>
      <c r="AT304" s="107"/>
      <c r="AU304" s="107"/>
      <c r="AV304" s="107"/>
      <c r="AW304" s="107"/>
      <c r="AX304" s="107"/>
      <c r="AY304" s="107"/>
      <c r="AZ304" s="107"/>
      <c r="BA304" s="107"/>
      <c r="BB304" s="107"/>
    </row>
    <row r="305" spans="1:54" ht="15" x14ac:dyDescent="0.25">
      <c r="A305" s="143" t="s">
        <v>413</v>
      </c>
      <c r="B305" s="15">
        <v>4</v>
      </c>
      <c r="C305" s="8">
        <v>3</v>
      </c>
      <c r="D305" s="8">
        <v>1</v>
      </c>
      <c r="E305" s="107"/>
      <c r="F305" s="137"/>
      <c r="G305" s="107"/>
      <c r="H305" s="107"/>
      <c r="I305" s="107"/>
      <c r="J305" s="107"/>
      <c r="K305" s="107"/>
      <c r="L305" s="107"/>
      <c r="M305" s="107"/>
      <c r="N305" s="107"/>
      <c r="O305" s="107"/>
      <c r="P305" s="107"/>
      <c r="Q305" s="107"/>
      <c r="R305" s="107"/>
      <c r="S305" s="107"/>
      <c r="T305" s="107"/>
      <c r="U305" s="107"/>
      <c r="V305" s="107"/>
      <c r="W305" s="107"/>
      <c r="X305" s="107"/>
      <c r="Y305" s="107"/>
      <c r="Z305" s="107"/>
      <c r="AA305" s="107"/>
      <c r="AB305" s="107"/>
      <c r="AC305" s="107"/>
      <c r="AD305" s="107"/>
      <c r="AE305" s="107"/>
      <c r="AF305" s="107"/>
      <c r="AG305" s="107"/>
      <c r="AH305" s="107"/>
      <c r="AI305" s="107"/>
      <c r="AJ305" s="107"/>
      <c r="AK305" s="107"/>
      <c r="AL305" s="107"/>
      <c r="AM305" s="107"/>
      <c r="AN305" s="107"/>
      <c r="AO305" s="107"/>
      <c r="AP305" s="107"/>
      <c r="AQ305" s="107"/>
      <c r="AR305" s="107"/>
      <c r="AS305" s="107"/>
      <c r="AT305" s="107"/>
      <c r="AU305" s="107"/>
      <c r="AV305" s="107"/>
      <c r="AW305" s="107"/>
      <c r="AX305" s="107"/>
      <c r="AY305" s="107"/>
      <c r="AZ305" s="107"/>
      <c r="BA305" s="107"/>
      <c r="BB305" s="107"/>
    </row>
    <row r="306" spans="1:54" ht="15" x14ac:dyDescent="0.25">
      <c r="A306" s="143" t="s">
        <v>420</v>
      </c>
      <c r="B306" s="15"/>
      <c r="C306" s="8"/>
      <c r="D306" s="8">
        <v>1</v>
      </c>
      <c r="E306" s="107"/>
      <c r="F306" s="137"/>
      <c r="G306" s="107"/>
      <c r="H306" s="107"/>
      <c r="I306" s="107"/>
      <c r="J306" s="107"/>
      <c r="K306" s="107"/>
      <c r="L306" s="107"/>
      <c r="M306" s="107"/>
      <c r="N306" s="107"/>
      <c r="O306" s="107"/>
      <c r="P306" s="107"/>
      <c r="Q306" s="107"/>
      <c r="R306" s="107"/>
      <c r="S306" s="107"/>
      <c r="T306" s="107"/>
      <c r="U306" s="107"/>
      <c r="V306" s="107"/>
      <c r="W306" s="107"/>
      <c r="X306" s="107"/>
      <c r="Y306" s="107"/>
      <c r="Z306" s="107"/>
      <c r="AA306" s="107"/>
      <c r="AB306" s="107"/>
      <c r="AC306" s="107"/>
      <c r="AD306" s="107"/>
      <c r="AE306" s="107"/>
      <c r="AF306" s="107"/>
      <c r="AG306" s="107"/>
      <c r="AH306" s="107"/>
      <c r="AI306" s="107"/>
      <c r="AJ306" s="107"/>
      <c r="AK306" s="107"/>
      <c r="AL306" s="107"/>
      <c r="AM306" s="107"/>
      <c r="AN306" s="107"/>
      <c r="AO306" s="107"/>
      <c r="AP306" s="107"/>
      <c r="AQ306" s="107"/>
      <c r="AR306" s="107"/>
      <c r="AS306" s="107"/>
      <c r="AT306" s="107"/>
      <c r="AU306" s="107"/>
      <c r="AV306" s="107"/>
      <c r="AW306" s="107"/>
      <c r="AX306" s="107"/>
      <c r="AY306" s="107"/>
      <c r="AZ306" s="107"/>
      <c r="BA306" s="107"/>
      <c r="BB306" s="107"/>
    </row>
    <row r="307" spans="1:54" ht="15" x14ac:dyDescent="0.25">
      <c r="A307" s="143" t="s">
        <v>419</v>
      </c>
      <c r="B307" s="15">
        <v>4</v>
      </c>
      <c r="C307" s="8">
        <v>3</v>
      </c>
      <c r="D307" s="8"/>
      <c r="E307" s="106"/>
      <c r="F307" s="13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c r="AZ307" s="106"/>
      <c r="BA307" s="106"/>
      <c r="BB307" s="106"/>
    </row>
    <row r="308" spans="1:54" ht="17.399999999999999" x14ac:dyDescent="0.3">
      <c r="A308" s="145" t="s">
        <v>801</v>
      </c>
      <c r="B308" s="74"/>
      <c r="C308" s="8"/>
      <c r="D308" s="8"/>
      <c r="E308" s="107"/>
      <c r="F308" s="137"/>
      <c r="G308" s="107"/>
      <c r="H308" s="107"/>
      <c r="I308" s="107"/>
      <c r="J308" s="107"/>
      <c r="K308" s="107"/>
      <c r="L308" s="107"/>
      <c r="M308" s="107"/>
      <c r="N308" s="107"/>
      <c r="O308" s="107"/>
      <c r="P308" s="107"/>
      <c r="Q308" s="107"/>
      <c r="R308" s="107"/>
      <c r="S308" s="107"/>
      <c r="T308" s="107"/>
      <c r="U308" s="107"/>
      <c r="V308" s="107"/>
      <c r="W308" s="107"/>
      <c r="X308" s="107"/>
      <c r="Y308" s="107"/>
      <c r="Z308" s="107"/>
      <c r="AA308" s="107"/>
      <c r="AB308" s="107"/>
      <c r="AC308" s="107"/>
      <c r="AD308" s="107"/>
      <c r="AE308" s="107"/>
      <c r="AF308" s="107"/>
      <c r="AG308" s="107"/>
      <c r="AH308" s="107"/>
      <c r="AI308" s="107"/>
      <c r="AJ308" s="107"/>
      <c r="AK308" s="107"/>
      <c r="AL308" s="107"/>
      <c r="AM308" s="107"/>
      <c r="AN308" s="107"/>
      <c r="AO308" s="107"/>
      <c r="AP308" s="107"/>
      <c r="AQ308" s="107"/>
      <c r="AR308" s="107"/>
      <c r="AS308" s="107"/>
      <c r="AT308" s="107"/>
      <c r="AU308" s="107"/>
      <c r="AV308" s="107"/>
      <c r="AW308" s="107"/>
      <c r="AX308" s="107"/>
      <c r="AY308" s="107"/>
      <c r="AZ308" s="107"/>
      <c r="BA308" s="107"/>
      <c r="BB308" s="107"/>
    </row>
    <row r="309" spans="1:54" ht="15" x14ac:dyDescent="0.25">
      <c r="A309" s="143" t="s">
        <v>414</v>
      </c>
      <c r="B309" s="15">
        <v>6</v>
      </c>
      <c r="C309" s="8">
        <v>2</v>
      </c>
      <c r="D309" s="8">
        <v>1</v>
      </c>
      <c r="E309" s="107"/>
      <c r="F309" s="137"/>
      <c r="G309" s="107"/>
      <c r="H309" s="107"/>
      <c r="I309" s="107"/>
      <c r="J309" s="107"/>
      <c r="K309" s="107"/>
      <c r="L309" s="107"/>
      <c r="M309" s="107"/>
      <c r="N309" s="107"/>
      <c r="O309" s="107"/>
      <c r="P309" s="107"/>
      <c r="Q309" s="107"/>
      <c r="R309" s="107"/>
      <c r="S309" s="107"/>
      <c r="T309" s="107"/>
      <c r="U309" s="107"/>
      <c r="V309" s="107"/>
      <c r="W309" s="107"/>
      <c r="X309" s="107"/>
      <c r="Y309" s="107"/>
      <c r="Z309" s="107"/>
      <c r="AA309" s="107"/>
      <c r="AB309" s="107"/>
      <c r="AC309" s="107"/>
      <c r="AD309" s="107"/>
      <c r="AE309" s="107"/>
      <c r="AF309" s="107"/>
      <c r="AG309" s="107"/>
      <c r="AH309" s="107"/>
      <c r="AI309" s="107"/>
      <c r="AJ309" s="107"/>
      <c r="AK309" s="107"/>
      <c r="AL309" s="107"/>
      <c r="AM309" s="107"/>
      <c r="AN309" s="107"/>
      <c r="AO309" s="107"/>
      <c r="AP309" s="107"/>
      <c r="AQ309" s="107"/>
      <c r="AR309" s="107"/>
      <c r="AS309" s="107"/>
      <c r="AT309" s="107"/>
      <c r="AU309" s="107"/>
      <c r="AV309" s="107"/>
      <c r="AW309" s="107"/>
      <c r="AX309" s="107"/>
      <c r="AY309" s="107"/>
      <c r="AZ309" s="107"/>
      <c r="BA309" s="107"/>
      <c r="BB309" s="107"/>
    </row>
    <row r="310" spans="1:54" ht="15" x14ac:dyDescent="0.25">
      <c r="A310" s="143" t="s">
        <v>412</v>
      </c>
      <c r="B310" s="15">
        <v>5</v>
      </c>
      <c r="C310" s="8">
        <v>4</v>
      </c>
      <c r="D310" s="8">
        <v>2</v>
      </c>
      <c r="E310" s="107"/>
      <c r="F310" s="137"/>
      <c r="G310" s="107"/>
      <c r="H310" s="107"/>
      <c r="I310" s="107"/>
      <c r="J310" s="107"/>
      <c r="K310" s="107"/>
      <c r="L310" s="107"/>
      <c r="M310" s="107"/>
      <c r="N310" s="107"/>
      <c r="O310" s="107"/>
      <c r="P310" s="107"/>
      <c r="Q310" s="107"/>
      <c r="R310" s="107"/>
      <c r="S310" s="107"/>
      <c r="T310" s="107"/>
      <c r="U310" s="107"/>
      <c r="V310" s="107"/>
      <c r="W310" s="107"/>
      <c r="X310" s="107"/>
      <c r="Y310" s="107"/>
      <c r="Z310" s="107"/>
      <c r="AA310" s="107"/>
      <c r="AB310" s="107"/>
      <c r="AC310" s="107"/>
      <c r="AD310" s="107"/>
      <c r="AE310" s="107"/>
      <c r="AF310" s="107"/>
      <c r="AG310" s="107"/>
      <c r="AH310" s="107"/>
      <c r="AI310" s="107"/>
      <c r="AJ310" s="107"/>
      <c r="AK310" s="107"/>
      <c r="AL310" s="107"/>
      <c r="AM310" s="107"/>
      <c r="AN310" s="107"/>
      <c r="AO310" s="107"/>
      <c r="AP310" s="107"/>
      <c r="AQ310" s="107"/>
      <c r="AR310" s="107"/>
      <c r="AS310" s="107"/>
      <c r="AT310" s="107"/>
      <c r="AU310" s="107"/>
      <c r="AV310" s="107"/>
      <c r="AW310" s="107"/>
      <c r="AX310" s="107"/>
      <c r="AY310" s="107"/>
      <c r="AZ310" s="107"/>
      <c r="BA310" s="107"/>
      <c r="BB310" s="107"/>
    </row>
    <row r="311" spans="1:54" ht="15" x14ac:dyDescent="0.25">
      <c r="A311" s="143" t="s">
        <v>413</v>
      </c>
      <c r="B311" s="15">
        <v>1</v>
      </c>
      <c r="C311" s="8">
        <v>3</v>
      </c>
      <c r="D311" s="8">
        <v>2</v>
      </c>
      <c r="E311" s="107"/>
      <c r="F311" s="137"/>
      <c r="G311" s="107"/>
      <c r="H311" s="107"/>
      <c r="I311" s="107"/>
      <c r="J311" s="107"/>
      <c r="K311" s="107"/>
      <c r="L311" s="107"/>
      <c r="M311" s="107"/>
      <c r="N311" s="107"/>
      <c r="O311" s="107"/>
      <c r="P311" s="107"/>
      <c r="Q311" s="107"/>
      <c r="R311" s="107"/>
      <c r="S311" s="107"/>
      <c r="T311" s="107"/>
      <c r="U311" s="107"/>
      <c r="V311" s="107"/>
      <c r="W311" s="107"/>
      <c r="X311" s="107"/>
      <c r="Y311" s="107"/>
      <c r="Z311" s="107"/>
      <c r="AA311" s="107"/>
      <c r="AB311" s="107"/>
      <c r="AC311" s="107"/>
      <c r="AD311" s="107"/>
      <c r="AE311" s="107"/>
      <c r="AF311" s="107"/>
      <c r="AG311" s="107"/>
      <c r="AH311" s="107"/>
      <c r="AI311" s="107"/>
      <c r="AJ311" s="107"/>
      <c r="AK311" s="107"/>
      <c r="AL311" s="107"/>
      <c r="AM311" s="107"/>
      <c r="AN311" s="107"/>
      <c r="AO311" s="107"/>
      <c r="AP311" s="107"/>
      <c r="AQ311" s="107"/>
      <c r="AR311" s="107"/>
      <c r="AS311" s="107"/>
      <c r="AT311" s="107"/>
      <c r="AU311" s="107"/>
      <c r="AV311" s="107"/>
      <c r="AW311" s="107"/>
      <c r="AX311" s="107"/>
      <c r="AY311" s="107"/>
      <c r="AZ311" s="107"/>
      <c r="BA311" s="107"/>
      <c r="BB311" s="107"/>
    </row>
    <row r="312" spans="1:54" ht="15" x14ac:dyDescent="0.25">
      <c r="A312" s="143" t="s">
        <v>473</v>
      </c>
      <c r="B312" s="15"/>
      <c r="C312" s="8">
        <v>1</v>
      </c>
      <c r="D312" s="8"/>
      <c r="E312" s="107"/>
      <c r="F312" s="137"/>
      <c r="G312" s="107"/>
      <c r="H312" s="107"/>
      <c r="I312" s="107"/>
      <c r="J312" s="107"/>
      <c r="K312" s="107"/>
      <c r="L312" s="107"/>
      <c r="M312" s="107"/>
      <c r="N312" s="107"/>
      <c r="O312" s="107"/>
      <c r="P312" s="107"/>
      <c r="Q312" s="107"/>
      <c r="R312" s="107"/>
      <c r="S312" s="107"/>
      <c r="T312" s="107"/>
      <c r="U312" s="107"/>
      <c r="V312" s="107"/>
      <c r="W312" s="107"/>
      <c r="X312" s="107"/>
      <c r="Y312" s="107"/>
      <c r="Z312" s="107"/>
      <c r="AA312" s="107"/>
      <c r="AB312" s="107"/>
      <c r="AC312" s="107"/>
      <c r="AD312" s="107"/>
      <c r="AE312" s="107"/>
      <c r="AF312" s="107"/>
      <c r="AG312" s="107"/>
      <c r="AH312" s="107"/>
      <c r="AI312" s="107"/>
      <c r="AJ312" s="107"/>
      <c r="AK312" s="107"/>
      <c r="AL312" s="107"/>
      <c r="AM312" s="107"/>
      <c r="AN312" s="107"/>
      <c r="AO312" s="107"/>
      <c r="AP312" s="107"/>
      <c r="AQ312" s="107"/>
      <c r="AR312" s="107"/>
      <c r="AS312" s="107"/>
      <c r="AT312" s="107"/>
      <c r="AU312" s="107"/>
      <c r="AV312" s="107"/>
      <c r="AW312" s="107"/>
      <c r="AX312" s="107"/>
      <c r="AY312" s="107"/>
      <c r="AZ312" s="107"/>
      <c r="BA312" s="107"/>
      <c r="BB312" s="107"/>
    </row>
    <row r="313" spans="1:54" ht="15" x14ac:dyDescent="0.25">
      <c r="A313" s="143" t="s">
        <v>507</v>
      </c>
      <c r="B313" s="15">
        <v>4</v>
      </c>
      <c r="C313" s="8">
        <v>2</v>
      </c>
      <c r="D313" s="8"/>
      <c r="E313" s="107"/>
      <c r="F313" s="137"/>
      <c r="G313" s="107"/>
      <c r="H313" s="107"/>
      <c r="I313" s="107"/>
      <c r="J313" s="107"/>
      <c r="K313" s="107"/>
      <c r="L313" s="107"/>
      <c r="M313" s="107"/>
      <c r="N313" s="107"/>
      <c r="O313" s="107"/>
      <c r="P313" s="107"/>
      <c r="Q313" s="107"/>
      <c r="R313" s="107"/>
      <c r="S313" s="107"/>
      <c r="T313" s="107"/>
      <c r="U313" s="107"/>
      <c r="V313" s="107"/>
      <c r="W313" s="107"/>
      <c r="X313" s="107"/>
      <c r="Y313" s="107"/>
      <c r="Z313" s="107"/>
      <c r="AA313" s="107"/>
      <c r="AB313" s="107"/>
      <c r="AC313" s="107"/>
      <c r="AD313" s="107"/>
      <c r="AE313" s="107"/>
      <c r="AF313" s="107"/>
      <c r="AG313" s="107"/>
      <c r="AH313" s="107"/>
      <c r="AI313" s="107"/>
      <c r="AJ313" s="107"/>
      <c r="AK313" s="107"/>
      <c r="AL313" s="107"/>
      <c r="AM313" s="107"/>
      <c r="AN313" s="107"/>
      <c r="AO313" s="107"/>
      <c r="AP313" s="107"/>
      <c r="AQ313" s="107"/>
      <c r="AR313" s="107"/>
      <c r="AS313" s="107"/>
      <c r="AT313" s="107"/>
      <c r="AU313" s="107"/>
      <c r="AV313" s="107"/>
      <c r="AW313" s="107"/>
      <c r="AX313" s="107"/>
      <c r="AY313" s="107"/>
      <c r="AZ313" s="107"/>
      <c r="BA313" s="107"/>
      <c r="BB313" s="107"/>
    </row>
    <row r="314" spans="1:54" ht="15" x14ac:dyDescent="0.25">
      <c r="A314" s="143"/>
      <c r="B314" s="15"/>
      <c r="C314" s="8"/>
      <c r="D314" s="8"/>
      <c r="E314" s="107"/>
      <c r="F314" s="137"/>
      <c r="G314" s="107"/>
      <c r="H314" s="107"/>
      <c r="I314" s="107"/>
      <c r="J314" s="107"/>
      <c r="K314" s="107"/>
      <c r="L314" s="107"/>
      <c r="M314" s="107"/>
      <c r="N314" s="107"/>
      <c r="O314" s="107"/>
      <c r="P314" s="107"/>
      <c r="Q314" s="107"/>
      <c r="R314" s="107"/>
      <c r="S314" s="107"/>
      <c r="T314" s="107"/>
      <c r="U314" s="107"/>
      <c r="V314" s="107"/>
      <c r="W314" s="107"/>
      <c r="X314" s="107"/>
      <c r="Y314" s="107"/>
      <c r="Z314" s="107"/>
      <c r="AA314" s="107"/>
      <c r="AB314" s="107"/>
      <c r="AC314" s="107"/>
      <c r="AD314" s="107"/>
      <c r="AE314" s="107"/>
      <c r="AF314" s="107"/>
      <c r="AG314" s="107"/>
      <c r="AH314" s="107"/>
      <c r="AI314" s="107"/>
      <c r="AJ314" s="107"/>
      <c r="AK314" s="107"/>
      <c r="AL314" s="107"/>
      <c r="AM314" s="107"/>
      <c r="AN314" s="107"/>
      <c r="AO314" s="107"/>
      <c r="AP314" s="107"/>
      <c r="AQ314" s="107"/>
      <c r="AR314" s="107"/>
      <c r="AS314" s="107"/>
      <c r="AT314" s="107"/>
      <c r="AU314" s="107"/>
      <c r="AV314" s="107"/>
      <c r="AW314" s="107"/>
      <c r="AX314" s="107"/>
      <c r="AY314" s="107"/>
      <c r="AZ314" s="107"/>
      <c r="BA314" s="107"/>
      <c r="BB314" s="107"/>
    </row>
    <row r="315" spans="1:54" ht="15" x14ac:dyDescent="0.25">
      <c r="A315" s="143"/>
      <c r="B315" s="15"/>
      <c r="C315" s="8"/>
      <c r="D315" s="8"/>
      <c r="E315" s="107"/>
      <c r="F315" s="137"/>
      <c r="G315" s="107"/>
      <c r="H315" s="107"/>
      <c r="I315" s="107"/>
      <c r="J315" s="107"/>
      <c r="K315" s="107"/>
      <c r="L315" s="107"/>
      <c r="M315" s="107"/>
      <c r="N315" s="107"/>
      <c r="O315" s="107"/>
      <c r="P315" s="107"/>
      <c r="Q315" s="107"/>
      <c r="R315" s="107"/>
      <c r="S315" s="107"/>
      <c r="T315" s="107"/>
      <c r="U315" s="107"/>
      <c r="V315" s="107"/>
      <c r="W315" s="107"/>
      <c r="X315" s="107"/>
      <c r="Y315" s="107"/>
      <c r="Z315" s="107"/>
      <c r="AA315" s="107"/>
      <c r="AB315" s="107"/>
      <c r="AC315" s="107"/>
      <c r="AD315" s="107"/>
      <c r="AE315" s="107"/>
      <c r="AF315" s="107"/>
      <c r="AG315" s="107"/>
      <c r="AH315" s="107"/>
      <c r="AI315" s="107"/>
      <c r="AJ315" s="107"/>
      <c r="AK315" s="107"/>
      <c r="AL315" s="107"/>
      <c r="AM315" s="107"/>
      <c r="AN315" s="107"/>
      <c r="AO315" s="107"/>
      <c r="AP315" s="107"/>
      <c r="AQ315" s="107"/>
      <c r="AR315" s="107"/>
      <c r="AS315" s="107"/>
      <c r="AT315" s="107"/>
      <c r="AU315" s="107"/>
      <c r="AV315" s="107"/>
      <c r="AW315" s="107"/>
      <c r="AX315" s="107"/>
      <c r="AY315" s="107"/>
      <c r="AZ315" s="107"/>
      <c r="BA315" s="107"/>
      <c r="BB315" s="107"/>
    </row>
    <row r="316" spans="1:54" ht="15" x14ac:dyDescent="0.25">
      <c r="A316" s="143"/>
      <c r="B316" s="15"/>
      <c r="C316" s="8"/>
      <c r="D316" s="8"/>
      <c r="E316" s="107"/>
      <c r="F316" s="137"/>
      <c r="G316" s="107"/>
      <c r="H316" s="107"/>
      <c r="I316" s="107"/>
      <c r="J316" s="107"/>
      <c r="K316" s="107"/>
      <c r="L316" s="107"/>
      <c r="M316" s="107"/>
      <c r="N316" s="107"/>
      <c r="O316" s="107"/>
      <c r="P316" s="107"/>
      <c r="Q316" s="107"/>
      <c r="R316" s="107"/>
      <c r="S316" s="107"/>
      <c r="T316" s="107"/>
      <c r="U316" s="107"/>
      <c r="V316" s="107"/>
      <c r="W316" s="107"/>
      <c r="X316" s="107"/>
      <c r="Y316" s="107"/>
      <c r="Z316" s="107"/>
      <c r="AA316" s="107"/>
      <c r="AB316" s="107"/>
      <c r="AC316" s="107"/>
      <c r="AD316" s="107"/>
      <c r="AE316" s="107"/>
      <c r="AF316" s="107"/>
      <c r="AG316" s="107"/>
      <c r="AH316" s="107"/>
      <c r="AI316" s="107"/>
      <c r="AJ316" s="107"/>
      <c r="AK316" s="107"/>
      <c r="AL316" s="107"/>
      <c r="AM316" s="107"/>
      <c r="AN316" s="107"/>
      <c r="AO316" s="107"/>
      <c r="AP316" s="107"/>
      <c r="AQ316" s="107"/>
      <c r="AR316" s="107"/>
      <c r="AS316" s="107"/>
      <c r="AT316" s="107"/>
      <c r="AU316" s="107"/>
      <c r="AV316" s="107"/>
      <c r="AW316" s="107"/>
      <c r="AX316" s="107"/>
      <c r="AY316" s="107"/>
      <c r="AZ316" s="107"/>
      <c r="BA316" s="107"/>
      <c r="BB316" s="107"/>
    </row>
    <row r="317" spans="1:54" ht="17.399999999999999" x14ac:dyDescent="0.3">
      <c r="A317" s="145" t="s">
        <v>802</v>
      </c>
      <c r="B317" s="74"/>
      <c r="C317" s="8"/>
      <c r="D317" s="8"/>
      <c r="E317" s="107"/>
      <c r="F317" s="137"/>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c r="AF317" s="107"/>
      <c r="AG317" s="107"/>
      <c r="AH317" s="107"/>
      <c r="AI317" s="107"/>
      <c r="AJ317" s="107"/>
      <c r="AK317" s="107"/>
      <c r="AL317" s="107"/>
      <c r="AM317" s="107"/>
      <c r="AN317" s="107"/>
      <c r="AO317" s="107"/>
      <c r="AP317" s="107"/>
      <c r="AQ317" s="107"/>
      <c r="AR317" s="107"/>
      <c r="AS317" s="107"/>
      <c r="AT317" s="107"/>
      <c r="AU317" s="107"/>
      <c r="AV317" s="107"/>
      <c r="AW317" s="107"/>
      <c r="AX317" s="107"/>
      <c r="AY317" s="107"/>
      <c r="AZ317" s="107"/>
      <c r="BA317" s="107"/>
      <c r="BB317" s="107"/>
    </row>
    <row r="318" spans="1:54" ht="15" x14ac:dyDescent="0.25">
      <c r="A318" s="143" t="s">
        <v>507</v>
      </c>
      <c r="B318" s="15">
        <v>4</v>
      </c>
      <c r="C318" s="8">
        <v>3</v>
      </c>
      <c r="D318" s="8"/>
      <c r="E318" s="107"/>
      <c r="F318" s="13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c r="AF318" s="107"/>
      <c r="AG318" s="107"/>
      <c r="AH318" s="107"/>
      <c r="AI318" s="107"/>
      <c r="AJ318" s="107"/>
      <c r="AK318" s="107"/>
      <c r="AL318" s="107"/>
      <c r="AM318" s="107"/>
      <c r="AN318" s="107"/>
      <c r="AO318" s="107"/>
      <c r="AP318" s="107"/>
      <c r="AQ318" s="107"/>
      <c r="AR318" s="107"/>
      <c r="AS318" s="107"/>
      <c r="AT318" s="107"/>
      <c r="AU318" s="107"/>
      <c r="AV318" s="107"/>
      <c r="AW318" s="107"/>
      <c r="AX318" s="107"/>
      <c r="AY318" s="107"/>
      <c r="AZ318" s="107"/>
      <c r="BA318" s="107"/>
      <c r="BB318" s="107"/>
    </row>
    <row r="319" spans="1:54" ht="15" x14ac:dyDescent="0.25">
      <c r="A319" s="143" t="s">
        <v>508</v>
      </c>
      <c r="B319" s="15">
        <v>4</v>
      </c>
      <c r="C319" s="8">
        <v>3</v>
      </c>
      <c r="D319" s="8"/>
      <c r="E319" s="107"/>
      <c r="F319" s="13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107"/>
      <c r="AH319" s="107"/>
      <c r="AI319" s="107"/>
      <c r="AJ319" s="107"/>
      <c r="AK319" s="107"/>
      <c r="AL319" s="107"/>
      <c r="AM319" s="107"/>
      <c r="AN319" s="107"/>
      <c r="AO319" s="107"/>
      <c r="AP319" s="107"/>
      <c r="AQ319" s="107"/>
      <c r="AR319" s="107"/>
      <c r="AS319" s="107"/>
      <c r="AT319" s="107"/>
      <c r="AU319" s="107"/>
      <c r="AV319" s="107"/>
      <c r="AW319" s="107"/>
      <c r="AX319" s="107"/>
      <c r="AY319" s="107"/>
      <c r="AZ319" s="107"/>
      <c r="BA319" s="107"/>
      <c r="BB319" s="107"/>
    </row>
    <row r="320" spans="1:54" ht="15" x14ac:dyDescent="0.25">
      <c r="A320" s="143" t="s">
        <v>509</v>
      </c>
      <c r="B320" s="15">
        <v>4</v>
      </c>
      <c r="C320" s="8">
        <v>2</v>
      </c>
      <c r="D320" s="8"/>
      <c r="E320" s="107"/>
      <c r="F320" s="13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107"/>
      <c r="AJ320" s="107"/>
      <c r="AK320" s="107"/>
      <c r="AL320" s="107"/>
      <c r="AM320" s="107"/>
      <c r="AN320" s="107"/>
      <c r="AO320" s="107"/>
      <c r="AP320" s="107"/>
      <c r="AQ320" s="107"/>
      <c r="AR320" s="107"/>
      <c r="AS320" s="107"/>
      <c r="AT320" s="107"/>
      <c r="AU320" s="107"/>
      <c r="AV320" s="107"/>
      <c r="AW320" s="107"/>
      <c r="AX320" s="107"/>
      <c r="AY320" s="107"/>
      <c r="AZ320" s="107"/>
      <c r="BA320" s="107"/>
      <c r="BB320" s="107"/>
    </row>
    <row r="321" spans="1:54" ht="15" x14ac:dyDescent="0.25">
      <c r="A321" s="143" t="s">
        <v>511</v>
      </c>
      <c r="B321" s="15">
        <v>3</v>
      </c>
      <c r="C321" s="8">
        <v>2</v>
      </c>
      <c r="D321" s="8"/>
      <c r="E321" s="107"/>
      <c r="F321" s="137"/>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c r="AI321" s="107"/>
      <c r="AJ321" s="107"/>
      <c r="AK321" s="107"/>
      <c r="AL321" s="107"/>
      <c r="AM321" s="107"/>
      <c r="AN321" s="107"/>
      <c r="AO321" s="107"/>
      <c r="AP321" s="107"/>
      <c r="AQ321" s="107"/>
      <c r="AR321" s="107"/>
      <c r="AS321" s="107"/>
      <c r="AT321" s="107"/>
      <c r="AU321" s="107"/>
      <c r="AV321" s="107"/>
      <c r="AW321" s="107"/>
      <c r="AX321" s="107"/>
      <c r="AY321" s="107"/>
      <c r="AZ321" s="107"/>
      <c r="BA321" s="107"/>
      <c r="BB321" s="107"/>
    </row>
    <row r="322" spans="1:54" ht="15" x14ac:dyDescent="0.25">
      <c r="A322" s="143" t="s">
        <v>417</v>
      </c>
      <c r="B322" s="15">
        <v>2</v>
      </c>
      <c r="C322" s="8">
        <v>1</v>
      </c>
      <c r="D322" s="8"/>
      <c r="E322" s="107"/>
      <c r="F322" s="137"/>
      <c r="G322" s="107"/>
      <c r="H322" s="107"/>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c r="AE322" s="107"/>
      <c r="AF322" s="107"/>
      <c r="AG322" s="107"/>
      <c r="AH322" s="107"/>
      <c r="AI322" s="107"/>
      <c r="AJ322" s="107"/>
      <c r="AK322" s="107"/>
      <c r="AL322" s="107"/>
      <c r="AM322" s="107"/>
      <c r="AN322" s="107"/>
      <c r="AO322" s="107"/>
      <c r="AP322" s="107"/>
      <c r="AQ322" s="107"/>
      <c r="AR322" s="107"/>
      <c r="AS322" s="107"/>
      <c r="AT322" s="107"/>
      <c r="AU322" s="107"/>
      <c r="AV322" s="107"/>
      <c r="AW322" s="107"/>
      <c r="AX322" s="107"/>
      <c r="AY322" s="107"/>
      <c r="AZ322" s="107"/>
      <c r="BA322" s="107"/>
      <c r="BB322" s="107"/>
    </row>
    <row r="323" spans="1:54" ht="15" x14ac:dyDescent="0.25">
      <c r="A323" s="143" t="s">
        <v>419</v>
      </c>
      <c r="B323" s="15">
        <v>1</v>
      </c>
      <c r="C323" s="8"/>
      <c r="D323" s="8"/>
      <c r="E323" s="107"/>
      <c r="F323" s="13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c r="AI323" s="107"/>
      <c r="AJ323" s="107"/>
      <c r="AK323" s="107"/>
      <c r="AL323" s="107"/>
      <c r="AM323" s="107"/>
      <c r="AN323" s="107"/>
      <c r="AO323" s="107"/>
      <c r="AP323" s="107"/>
      <c r="AQ323" s="107"/>
      <c r="AR323" s="107"/>
      <c r="AS323" s="107"/>
      <c r="AT323" s="107"/>
      <c r="AU323" s="107"/>
      <c r="AV323" s="107"/>
      <c r="AW323" s="107"/>
      <c r="AX323" s="107"/>
      <c r="AY323" s="107"/>
      <c r="AZ323" s="107"/>
      <c r="BA323" s="107"/>
      <c r="BB323" s="107"/>
    </row>
    <row r="324" spans="1:54" ht="15" x14ac:dyDescent="0.25">
      <c r="A324" s="143" t="s">
        <v>450</v>
      </c>
      <c r="B324" s="15"/>
      <c r="C324" s="8">
        <v>1</v>
      </c>
      <c r="D324" s="8"/>
      <c r="E324" s="107"/>
      <c r="F324" s="137"/>
      <c r="G324" s="107"/>
      <c r="H324" s="107"/>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c r="AE324" s="107"/>
      <c r="AF324" s="107"/>
      <c r="AG324" s="107"/>
      <c r="AH324" s="107"/>
      <c r="AI324" s="107"/>
      <c r="AJ324" s="107"/>
      <c r="AK324" s="107"/>
      <c r="AL324" s="107"/>
      <c r="AM324" s="107"/>
      <c r="AN324" s="107"/>
      <c r="AO324" s="107"/>
      <c r="AP324" s="107"/>
      <c r="AQ324" s="107"/>
      <c r="AR324" s="107"/>
      <c r="AS324" s="107"/>
      <c r="AT324" s="107"/>
      <c r="AU324" s="107"/>
      <c r="AV324" s="107"/>
      <c r="AW324" s="107"/>
      <c r="AX324" s="107"/>
      <c r="AY324" s="107"/>
      <c r="AZ324" s="107"/>
      <c r="BA324" s="107"/>
      <c r="BB324" s="107"/>
    </row>
    <row r="325" spans="1:54" ht="15" x14ac:dyDescent="0.25">
      <c r="A325" s="143"/>
      <c r="B325" s="15"/>
      <c r="C325" s="8"/>
      <c r="D325" s="8"/>
      <c r="E325" s="107"/>
      <c r="F325" s="137"/>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c r="AF325" s="107"/>
      <c r="AG325" s="107"/>
      <c r="AH325" s="107"/>
      <c r="AI325" s="107"/>
      <c r="AJ325" s="107"/>
      <c r="AK325" s="107"/>
      <c r="AL325" s="107"/>
      <c r="AM325" s="107"/>
      <c r="AN325" s="107"/>
      <c r="AO325" s="107"/>
      <c r="AP325" s="107"/>
      <c r="AQ325" s="107"/>
      <c r="AR325" s="107"/>
      <c r="AS325" s="107"/>
      <c r="AT325" s="107"/>
      <c r="AU325" s="107"/>
      <c r="AV325" s="107"/>
      <c r="AW325" s="107"/>
      <c r="AX325" s="107"/>
      <c r="AY325" s="107"/>
      <c r="AZ325" s="107"/>
      <c r="BA325" s="107"/>
      <c r="BB325" s="107"/>
    </row>
    <row r="326" spans="1:54" ht="15" x14ac:dyDescent="0.25">
      <c r="A326" s="143"/>
      <c r="B326" s="15"/>
      <c r="C326" s="8"/>
      <c r="D326" s="8"/>
      <c r="E326" s="107"/>
      <c r="F326" s="137"/>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c r="AF326" s="107"/>
      <c r="AG326" s="107"/>
      <c r="AH326" s="107"/>
      <c r="AI326" s="107"/>
      <c r="AJ326" s="107"/>
      <c r="AK326" s="107"/>
      <c r="AL326" s="107"/>
      <c r="AM326" s="107"/>
      <c r="AN326" s="107"/>
      <c r="AO326" s="107"/>
      <c r="AP326" s="107"/>
      <c r="AQ326" s="107"/>
      <c r="AR326" s="107"/>
      <c r="AS326" s="107"/>
      <c r="AT326" s="107"/>
      <c r="AU326" s="107"/>
      <c r="AV326" s="107"/>
      <c r="AW326" s="107"/>
      <c r="AX326" s="107"/>
      <c r="AY326" s="107"/>
      <c r="AZ326" s="107"/>
      <c r="BA326" s="107"/>
      <c r="BB326" s="107"/>
    </row>
    <row r="327" spans="1:54" ht="15" x14ac:dyDescent="0.25">
      <c r="A327" s="143"/>
      <c r="B327" s="15"/>
      <c r="C327" s="8"/>
      <c r="D327" s="8"/>
      <c r="E327" s="107"/>
      <c r="F327" s="13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F327" s="107"/>
      <c r="AG327" s="107"/>
      <c r="AH327" s="107"/>
      <c r="AI327" s="107"/>
      <c r="AJ327" s="107"/>
      <c r="AK327" s="107"/>
      <c r="AL327" s="107"/>
      <c r="AM327" s="107"/>
      <c r="AN327" s="107"/>
      <c r="AO327" s="107"/>
      <c r="AP327" s="107"/>
      <c r="AQ327" s="107"/>
      <c r="AR327" s="107"/>
      <c r="AS327" s="107"/>
      <c r="AT327" s="107"/>
      <c r="AU327" s="107"/>
      <c r="AV327" s="107"/>
      <c r="AW327" s="107"/>
      <c r="AX327" s="107"/>
      <c r="AY327" s="107"/>
      <c r="AZ327" s="107"/>
      <c r="BA327" s="107"/>
      <c r="BB327" s="107"/>
    </row>
    <row r="328" spans="1:54" ht="15" x14ac:dyDescent="0.25">
      <c r="A328" s="143"/>
      <c r="B328" s="15"/>
      <c r="C328" s="8"/>
      <c r="D328" s="8"/>
      <c r="E328" s="106"/>
      <c r="F328" s="13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c r="AZ328" s="106"/>
      <c r="BA328" s="106"/>
      <c r="BB328" s="106"/>
    </row>
    <row r="329" spans="1:54" ht="17.399999999999999" x14ac:dyDescent="0.3">
      <c r="A329" s="145" t="s">
        <v>803</v>
      </c>
      <c r="B329" s="74"/>
      <c r="C329" s="8"/>
      <c r="D329" s="8"/>
      <c r="E329" s="107"/>
      <c r="F329" s="137"/>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c r="AF329" s="107"/>
      <c r="AG329" s="107"/>
      <c r="AH329" s="107"/>
      <c r="AI329" s="107"/>
      <c r="AJ329" s="107"/>
      <c r="AK329" s="107"/>
      <c r="AL329" s="107"/>
      <c r="AM329" s="107"/>
      <c r="AN329" s="107"/>
      <c r="AO329" s="107"/>
      <c r="AP329" s="107"/>
      <c r="AQ329" s="107"/>
      <c r="AR329" s="107"/>
      <c r="AS329" s="107"/>
      <c r="AT329" s="107"/>
      <c r="AU329" s="107"/>
      <c r="AV329" s="107"/>
      <c r="AW329" s="107"/>
      <c r="AX329" s="107"/>
      <c r="AY329" s="107"/>
      <c r="AZ329" s="107"/>
      <c r="BA329" s="107"/>
      <c r="BB329" s="107"/>
    </row>
    <row r="330" spans="1:54" ht="15" x14ac:dyDescent="0.25">
      <c r="A330" s="143" t="s">
        <v>536</v>
      </c>
      <c r="B330" s="15"/>
      <c r="C330" s="8">
        <v>50</v>
      </c>
      <c r="D330" s="8"/>
      <c r="E330" s="107"/>
      <c r="F330" s="137"/>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c r="AF330" s="107"/>
      <c r="AG330" s="107"/>
      <c r="AH330" s="107"/>
      <c r="AI330" s="107"/>
      <c r="AJ330" s="107"/>
      <c r="AK330" s="107"/>
      <c r="AL330" s="107"/>
      <c r="AM330" s="107"/>
      <c r="AN330" s="107"/>
      <c r="AO330" s="107"/>
      <c r="AP330" s="107"/>
      <c r="AQ330" s="107"/>
      <c r="AR330" s="107"/>
      <c r="AS330" s="107"/>
      <c r="AT330" s="107"/>
      <c r="AU330" s="107"/>
      <c r="AV330" s="107"/>
      <c r="AW330" s="107"/>
      <c r="AX330" s="107"/>
      <c r="AY330" s="107"/>
      <c r="AZ330" s="107"/>
      <c r="BA330" s="107"/>
      <c r="BB330" s="107"/>
    </row>
    <row r="331" spans="1:54" ht="15" x14ac:dyDescent="0.25">
      <c r="A331" s="143" t="s">
        <v>427</v>
      </c>
      <c r="B331" s="15">
        <v>1</v>
      </c>
      <c r="C331" s="8">
        <v>1</v>
      </c>
      <c r="D331" s="8"/>
      <c r="E331" s="107"/>
      <c r="F331" s="137"/>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c r="AF331" s="107"/>
      <c r="AG331" s="107"/>
      <c r="AH331" s="107"/>
      <c r="AI331" s="107"/>
      <c r="AJ331" s="107"/>
      <c r="AK331" s="107"/>
      <c r="AL331" s="107"/>
      <c r="AM331" s="107"/>
      <c r="AN331" s="107"/>
      <c r="AO331" s="107"/>
      <c r="AP331" s="107"/>
      <c r="AQ331" s="107"/>
      <c r="AR331" s="107"/>
      <c r="AS331" s="107"/>
      <c r="AT331" s="107"/>
      <c r="AU331" s="107"/>
      <c r="AV331" s="107"/>
      <c r="AW331" s="107"/>
      <c r="AX331" s="107"/>
      <c r="AY331" s="107"/>
      <c r="AZ331" s="107"/>
      <c r="BA331" s="107"/>
      <c r="BB331" s="107"/>
    </row>
    <row r="332" spans="1:54" ht="15" x14ac:dyDescent="0.25">
      <c r="A332" s="143" t="s">
        <v>428</v>
      </c>
      <c r="B332" s="15">
        <v>6</v>
      </c>
      <c r="C332" s="8">
        <v>10</v>
      </c>
      <c r="D332" s="8"/>
      <c r="E332" s="106"/>
      <c r="F332" s="13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c r="AZ332" s="106"/>
      <c r="BA332" s="106"/>
      <c r="BB332" s="106"/>
    </row>
    <row r="333" spans="1:54" ht="15" x14ac:dyDescent="0.25">
      <c r="A333" s="143" t="s">
        <v>433</v>
      </c>
      <c r="B333" s="15">
        <v>6</v>
      </c>
      <c r="C333" s="8">
        <v>10</v>
      </c>
      <c r="D333" s="8"/>
      <c r="E333" s="106"/>
      <c r="F333" s="13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c r="AZ333" s="106"/>
      <c r="BA333" s="106"/>
      <c r="BB333" s="106"/>
    </row>
    <row r="334" spans="1:54" ht="15" x14ac:dyDescent="0.25">
      <c r="A334" s="143" t="s">
        <v>451</v>
      </c>
      <c r="B334" s="15">
        <v>2</v>
      </c>
      <c r="C334" s="8">
        <v>1</v>
      </c>
      <c r="D334" s="8"/>
      <c r="E334" s="106"/>
      <c r="F334" s="13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c r="AZ334" s="106"/>
      <c r="BA334" s="106"/>
      <c r="BB334" s="106"/>
    </row>
    <row r="335" spans="1:54" ht="15" x14ac:dyDescent="0.25">
      <c r="A335" s="143" t="s">
        <v>455</v>
      </c>
      <c r="B335" s="15">
        <v>2</v>
      </c>
      <c r="C335" s="8">
        <v>1</v>
      </c>
      <c r="D335" s="8"/>
      <c r="E335" s="106"/>
      <c r="F335" s="13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c r="AZ335" s="106"/>
      <c r="BA335" s="106"/>
      <c r="BB335" s="106"/>
    </row>
    <row r="336" spans="1:54" ht="15" x14ac:dyDescent="0.25">
      <c r="A336" s="143" t="s">
        <v>464</v>
      </c>
      <c r="B336" s="15">
        <v>1</v>
      </c>
      <c r="C336" s="8"/>
      <c r="D336" s="8"/>
      <c r="E336" s="106"/>
      <c r="F336" s="13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c r="AZ336" s="106"/>
      <c r="BA336" s="106"/>
      <c r="BB336" s="106"/>
    </row>
    <row r="337" spans="1:54" ht="15" x14ac:dyDescent="0.25">
      <c r="A337" s="143" t="s">
        <v>460</v>
      </c>
      <c r="B337" s="15"/>
      <c r="C337" s="8">
        <v>1</v>
      </c>
      <c r="D337" s="8">
        <v>1</v>
      </c>
      <c r="E337" s="106"/>
      <c r="F337" s="13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c r="AZ337" s="106"/>
      <c r="BA337" s="106"/>
      <c r="BB337" s="106"/>
    </row>
    <row r="338" spans="1:54" ht="15" x14ac:dyDescent="0.25">
      <c r="A338" s="143" t="s">
        <v>568</v>
      </c>
      <c r="B338" s="15"/>
      <c r="C338" s="8">
        <v>2</v>
      </c>
      <c r="D338" s="8"/>
      <c r="E338" s="106"/>
      <c r="F338" s="13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c r="AZ338" s="106"/>
      <c r="BA338" s="106"/>
      <c r="BB338" s="106"/>
    </row>
    <row r="339" spans="1:54" ht="15" x14ac:dyDescent="0.25">
      <c r="A339" s="143" t="s">
        <v>581</v>
      </c>
      <c r="B339" s="15"/>
      <c r="C339" s="8">
        <v>1</v>
      </c>
      <c r="D339" s="8"/>
      <c r="E339" s="106"/>
      <c r="F339" s="13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c r="AZ339" s="106"/>
      <c r="BA339" s="106"/>
      <c r="BB339" s="106"/>
    </row>
    <row r="340" spans="1:54" ht="15" x14ac:dyDescent="0.25">
      <c r="A340" s="143" t="s">
        <v>464</v>
      </c>
      <c r="B340" s="15"/>
      <c r="C340" s="8"/>
      <c r="D340" s="8">
        <v>1</v>
      </c>
      <c r="E340" s="106"/>
      <c r="F340" s="13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c r="AZ340" s="106"/>
      <c r="BA340" s="106"/>
      <c r="BB340" s="106"/>
    </row>
    <row r="341" spans="1:54" ht="15" x14ac:dyDescent="0.25">
      <c r="A341" s="143" t="s">
        <v>573</v>
      </c>
      <c r="B341" s="15"/>
      <c r="C341" s="8"/>
      <c r="D341" s="8">
        <v>1</v>
      </c>
      <c r="E341" s="106"/>
      <c r="F341" s="13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c r="AZ341" s="106"/>
      <c r="BA341" s="106"/>
      <c r="BB341" s="106"/>
    </row>
    <row r="342" spans="1:54" ht="15" x14ac:dyDescent="0.25">
      <c r="A342" s="143"/>
      <c r="B342" s="15"/>
      <c r="C342" s="8"/>
      <c r="D342" s="8"/>
      <c r="E342" s="107"/>
      <c r="F342" s="137"/>
      <c r="G342" s="107"/>
      <c r="H342" s="107"/>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c r="AE342" s="107"/>
      <c r="AF342" s="107"/>
      <c r="AG342" s="107"/>
      <c r="AH342" s="107"/>
      <c r="AI342" s="107"/>
      <c r="AJ342" s="107"/>
      <c r="AK342" s="107"/>
      <c r="AL342" s="107"/>
      <c r="AM342" s="107"/>
      <c r="AN342" s="107"/>
      <c r="AO342" s="107"/>
      <c r="AP342" s="107"/>
      <c r="AQ342" s="107"/>
      <c r="AR342" s="107"/>
      <c r="AS342" s="107"/>
      <c r="AT342" s="107"/>
      <c r="AU342" s="107"/>
      <c r="AV342" s="107"/>
      <c r="AW342" s="107"/>
      <c r="AX342" s="107"/>
      <c r="AY342" s="107"/>
      <c r="AZ342" s="107"/>
      <c r="BA342" s="107"/>
      <c r="BB342" s="107"/>
    </row>
    <row r="343" spans="1:54" ht="15" x14ac:dyDescent="0.25">
      <c r="A343" s="143"/>
      <c r="B343" s="15"/>
      <c r="C343" s="8"/>
      <c r="D343" s="8"/>
      <c r="E343" s="107"/>
      <c r="F343" s="137"/>
      <c r="G343" s="107"/>
      <c r="H343" s="107"/>
      <c r="I343" s="107"/>
      <c r="J343" s="107"/>
      <c r="K343" s="107"/>
      <c r="L343" s="107"/>
      <c r="M343" s="107"/>
      <c r="N343" s="107"/>
      <c r="O343" s="107"/>
      <c r="P343" s="107"/>
      <c r="Q343" s="107"/>
      <c r="R343" s="107"/>
      <c r="S343" s="107"/>
      <c r="T343" s="107"/>
      <c r="U343" s="107"/>
      <c r="V343" s="107"/>
      <c r="W343" s="107"/>
      <c r="X343" s="107"/>
      <c r="Y343" s="107"/>
      <c r="Z343" s="107"/>
      <c r="AA343" s="107"/>
      <c r="AB343" s="107"/>
      <c r="AC343" s="107"/>
      <c r="AD343" s="107"/>
      <c r="AE343" s="107"/>
      <c r="AF343" s="107"/>
      <c r="AG343" s="107"/>
      <c r="AH343" s="107"/>
      <c r="AI343" s="107"/>
      <c r="AJ343" s="107"/>
      <c r="AK343" s="107"/>
      <c r="AL343" s="107"/>
      <c r="AM343" s="107"/>
      <c r="AN343" s="107"/>
      <c r="AO343" s="107"/>
      <c r="AP343" s="107"/>
      <c r="AQ343" s="107"/>
      <c r="AR343" s="107"/>
      <c r="AS343" s="107"/>
      <c r="AT343" s="107"/>
      <c r="AU343" s="107"/>
      <c r="AV343" s="107"/>
      <c r="AW343" s="107"/>
      <c r="AX343" s="107"/>
      <c r="AY343" s="107"/>
      <c r="AZ343" s="107"/>
      <c r="BA343" s="107"/>
      <c r="BB343" s="107"/>
    </row>
    <row r="344" spans="1:54" ht="15" x14ac:dyDescent="0.25">
      <c r="A344" s="143"/>
      <c r="B344" s="15"/>
      <c r="C344" s="8"/>
      <c r="D344" s="8"/>
      <c r="E344" s="107"/>
      <c r="F344" s="137"/>
      <c r="G344" s="107"/>
      <c r="H344" s="107"/>
      <c r="I344" s="107"/>
      <c r="J344" s="107"/>
      <c r="K344" s="107"/>
      <c r="L344" s="107"/>
      <c r="M344" s="107"/>
      <c r="N344" s="107"/>
      <c r="O344" s="107"/>
      <c r="P344" s="107"/>
      <c r="Q344" s="107"/>
      <c r="R344" s="107"/>
      <c r="S344" s="107"/>
      <c r="T344" s="107"/>
      <c r="U344" s="107"/>
      <c r="V344" s="107"/>
      <c r="W344" s="107"/>
      <c r="X344" s="107"/>
      <c r="Y344" s="107"/>
      <c r="Z344" s="107"/>
      <c r="AA344" s="107"/>
      <c r="AB344" s="107"/>
      <c r="AC344" s="107"/>
      <c r="AD344" s="107"/>
      <c r="AE344" s="107"/>
      <c r="AF344" s="107"/>
      <c r="AG344" s="107"/>
      <c r="AH344" s="107"/>
      <c r="AI344" s="107"/>
      <c r="AJ344" s="107"/>
      <c r="AK344" s="107"/>
      <c r="AL344" s="107"/>
      <c r="AM344" s="107"/>
      <c r="AN344" s="107"/>
      <c r="AO344" s="107"/>
      <c r="AP344" s="107"/>
      <c r="AQ344" s="107"/>
      <c r="AR344" s="107"/>
      <c r="AS344" s="107"/>
      <c r="AT344" s="107"/>
      <c r="AU344" s="107"/>
      <c r="AV344" s="107"/>
      <c r="AW344" s="107"/>
      <c r="AX344" s="107"/>
      <c r="AY344" s="107"/>
      <c r="AZ344" s="107"/>
      <c r="BA344" s="107"/>
      <c r="BB344" s="107"/>
    </row>
    <row r="345" spans="1:54" ht="15" x14ac:dyDescent="0.25">
      <c r="A345" s="143"/>
      <c r="B345" s="15"/>
      <c r="C345" s="8"/>
      <c r="D345" s="8"/>
      <c r="E345" s="107"/>
      <c r="F345" s="137"/>
      <c r="G345" s="107"/>
      <c r="H345" s="107"/>
      <c r="I345" s="107"/>
      <c r="J345" s="107"/>
      <c r="K345" s="107"/>
      <c r="L345" s="107"/>
      <c r="M345" s="107"/>
      <c r="N345" s="107"/>
      <c r="O345" s="107"/>
      <c r="P345" s="107"/>
      <c r="Q345" s="107"/>
      <c r="R345" s="107"/>
      <c r="S345" s="107"/>
      <c r="T345" s="107"/>
      <c r="U345" s="107"/>
      <c r="V345" s="107"/>
      <c r="W345" s="107"/>
      <c r="X345" s="107"/>
      <c r="Y345" s="107"/>
      <c r="Z345" s="107"/>
      <c r="AA345" s="107"/>
      <c r="AB345" s="107"/>
      <c r="AC345" s="107"/>
      <c r="AD345" s="107"/>
      <c r="AE345" s="107"/>
      <c r="AF345" s="107"/>
      <c r="AG345" s="107"/>
      <c r="AH345" s="107"/>
      <c r="AI345" s="107"/>
      <c r="AJ345" s="107"/>
      <c r="AK345" s="107"/>
      <c r="AL345" s="107"/>
      <c r="AM345" s="107"/>
      <c r="AN345" s="107"/>
      <c r="AO345" s="107"/>
      <c r="AP345" s="107"/>
      <c r="AQ345" s="107"/>
      <c r="AR345" s="107"/>
      <c r="AS345" s="107"/>
      <c r="AT345" s="107"/>
      <c r="AU345" s="107"/>
      <c r="AV345" s="107"/>
      <c r="AW345" s="107"/>
      <c r="AX345" s="107"/>
      <c r="AY345" s="107"/>
      <c r="AZ345" s="107"/>
      <c r="BA345" s="107"/>
      <c r="BB345" s="107"/>
    </row>
    <row r="346" spans="1:54" ht="15" x14ac:dyDescent="0.25">
      <c r="A346" s="143"/>
      <c r="B346" s="15"/>
      <c r="C346" s="8"/>
      <c r="D346" s="8"/>
      <c r="E346" s="107"/>
      <c r="F346" s="137"/>
      <c r="G346" s="107"/>
      <c r="H346" s="107"/>
      <c r="I346" s="107"/>
      <c r="J346" s="107"/>
      <c r="K346" s="107"/>
      <c r="L346" s="107"/>
      <c r="M346" s="107"/>
      <c r="N346" s="107"/>
      <c r="O346" s="107"/>
      <c r="P346" s="107"/>
      <c r="Q346" s="107"/>
      <c r="R346" s="107"/>
      <c r="S346" s="107"/>
      <c r="T346" s="107"/>
      <c r="U346" s="107"/>
      <c r="V346" s="107"/>
      <c r="W346" s="107"/>
      <c r="X346" s="107"/>
      <c r="Y346" s="107"/>
      <c r="Z346" s="107"/>
      <c r="AA346" s="107"/>
      <c r="AB346" s="107"/>
      <c r="AC346" s="107"/>
      <c r="AD346" s="107"/>
      <c r="AE346" s="107"/>
      <c r="AF346" s="107"/>
      <c r="AG346" s="107"/>
      <c r="AH346" s="107"/>
      <c r="AI346" s="107"/>
      <c r="AJ346" s="107"/>
      <c r="AK346" s="107"/>
      <c r="AL346" s="107"/>
      <c r="AM346" s="107"/>
      <c r="AN346" s="107"/>
      <c r="AO346" s="107"/>
      <c r="AP346" s="107"/>
      <c r="AQ346" s="107"/>
      <c r="AR346" s="107"/>
      <c r="AS346" s="107"/>
      <c r="AT346" s="107"/>
      <c r="AU346" s="107"/>
      <c r="AV346" s="107"/>
      <c r="AW346" s="107"/>
      <c r="AX346" s="107"/>
      <c r="AY346" s="107"/>
      <c r="AZ346" s="107"/>
      <c r="BA346" s="107"/>
      <c r="BB346" s="107"/>
    </row>
    <row r="347" spans="1:54" ht="17.399999999999999" x14ac:dyDescent="0.3">
      <c r="A347" s="145" t="s">
        <v>804</v>
      </c>
      <c r="B347" s="74"/>
      <c r="C347" s="8"/>
      <c r="D347" s="8"/>
      <c r="E347" s="107"/>
      <c r="F347" s="137"/>
      <c r="G347" s="107"/>
      <c r="H347" s="107"/>
      <c r="I347" s="107"/>
      <c r="J347" s="107"/>
      <c r="K347" s="107"/>
      <c r="L347" s="107"/>
      <c r="M347" s="107"/>
      <c r="N347" s="107"/>
      <c r="O347" s="107"/>
      <c r="P347" s="107"/>
      <c r="Q347" s="107"/>
      <c r="R347" s="107"/>
      <c r="S347" s="107"/>
      <c r="T347" s="107"/>
      <c r="U347" s="107"/>
      <c r="V347" s="107"/>
      <c r="W347" s="107"/>
      <c r="X347" s="107"/>
      <c r="Y347" s="107"/>
      <c r="Z347" s="107"/>
      <c r="AA347" s="107"/>
      <c r="AB347" s="107"/>
      <c r="AC347" s="107"/>
      <c r="AD347" s="107"/>
      <c r="AE347" s="107"/>
      <c r="AF347" s="107"/>
      <c r="AG347" s="107"/>
      <c r="AH347" s="107"/>
      <c r="AI347" s="107"/>
      <c r="AJ347" s="107"/>
      <c r="AK347" s="107"/>
      <c r="AL347" s="107"/>
      <c r="AM347" s="107"/>
      <c r="AN347" s="107"/>
      <c r="AO347" s="107"/>
      <c r="AP347" s="107"/>
      <c r="AQ347" s="107"/>
      <c r="AR347" s="107"/>
      <c r="AS347" s="107"/>
      <c r="AT347" s="107"/>
      <c r="AU347" s="107"/>
      <c r="AV347" s="107"/>
      <c r="AW347" s="107"/>
      <c r="AX347" s="107"/>
      <c r="AY347" s="107"/>
      <c r="AZ347" s="107"/>
      <c r="BA347" s="107"/>
      <c r="BB347" s="107"/>
    </row>
    <row r="348" spans="1:54" ht="15" x14ac:dyDescent="0.25">
      <c r="A348" s="143" t="s">
        <v>536</v>
      </c>
      <c r="B348" s="15"/>
      <c r="C348" s="8">
        <v>20</v>
      </c>
      <c r="D348" s="8"/>
      <c r="E348" s="107"/>
      <c r="F348" s="137"/>
      <c r="G348" s="107"/>
      <c r="H348" s="107"/>
      <c r="I348" s="107"/>
      <c r="J348" s="107"/>
      <c r="K348" s="107"/>
      <c r="L348" s="107"/>
      <c r="M348" s="107"/>
      <c r="N348" s="107"/>
      <c r="O348" s="107"/>
      <c r="P348" s="107"/>
      <c r="Q348" s="107"/>
      <c r="R348" s="107"/>
      <c r="S348" s="107"/>
      <c r="T348" s="107"/>
      <c r="U348" s="107"/>
      <c r="V348" s="107"/>
      <c r="W348" s="107"/>
      <c r="X348" s="107"/>
      <c r="Y348" s="107"/>
      <c r="Z348" s="107"/>
      <c r="AA348" s="107"/>
      <c r="AB348" s="107"/>
      <c r="AC348" s="107"/>
      <c r="AD348" s="107"/>
      <c r="AE348" s="107"/>
      <c r="AF348" s="107"/>
      <c r="AG348" s="107"/>
      <c r="AH348" s="107"/>
      <c r="AI348" s="107"/>
      <c r="AJ348" s="107"/>
      <c r="AK348" s="107"/>
      <c r="AL348" s="107"/>
      <c r="AM348" s="107"/>
      <c r="AN348" s="107"/>
      <c r="AO348" s="107"/>
      <c r="AP348" s="107"/>
      <c r="AQ348" s="107"/>
      <c r="AR348" s="107"/>
      <c r="AS348" s="107"/>
      <c r="AT348" s="107"/>
      <c r="AU348" s="107"/>
      <c r="AV348" s="107"/>
      <c r="AW348" s="107"/>
      <c r="AX348" s="107"/>
      <c r="AY348" s="107"/>
      <c r="AZ348" s="107"/>
      <c r="BA348" s="107"/>
      <c r="BB348" s="107"/>
    </row>
    <row r="349" spans="1:54" ht="15" x14ac:dyDescent="0.25">
      <c r="A349" s="143" t="s">
        <v>428</v>
      </c>
      <c r="B349" s="15">
        <v>5</v>
      </c>
      <c r="C349" s="8">
        <v>2</v>
      </c>
      <c r="D349" s="8"/>
      <c r="E349" s="107"/>
      <c r="F349" s="137"/>
      <c r="G349" s="107"/>
      <c r="H349" s="107"/>
      <c r="I349" s="107"/>
      <c r="J349" s="107"/>
      <c r="K349" s="107"/>
      <c r="L349" s="107"/>
      <c r="M349" s="107"/>
      <c r="N349" s="107"/>
      <c r="O349" s="107"/>
      <c r="P349" s="107"/>
      <c r="Q349" s="107"/>
      <c r="R349" s="107"/>
      <c r="S349" s="107"/>
      <c r="T349" s="107"/>
      <c r="U349" s="107"/>
      <c r="V349" s="107"/>
      <c r="W349" s="107"/>
      <c r="X349" s="107"/>
      <c r="Y349" s="107"/>
      <c r="Z349" s="107"/>
      <c r="AA349" s="107"/>
      <c r="AB349" s="107"/>
      <c r="AC349" s="107"/>
      <c r="AD349" s="107"/>
      <c r="AE349" s="107"/>
      <c r="AF349" s="107"/>
      <c r="AG349" s="107"/>
      <c r="AH349" s="107"/>
      <c r="AI349" s="107"/>
      <c r="AJ349" s="107"/>
      <c r="AK349" s="107"/>
      <c r="AL349" s="107"/>
      <c r="AM349" s="107"/>
      <c r="AN349" s="107"/>
      <c r="AO349" s="107"/>
      <c r="AP349" s="107"/>
      <c r="AQ349" s="107"/>
      <c r="AR349" s="107"/>
      <c r="AS349" s="107"/>
      <c r="AT349" s="107"/>
      <c r="AU349" s="107"/>
      <c r="AV349" s="107"/>
      <c r="AW349" s="107"/>
      <c r="AX349" s="107"/>
      <c r="AY349" s="107"/>
      <c r="AZ349" s="107"/>
      <c r="BA349" s="107"/>
      <c r="BB349" s="107"/>
    </row>
    <row r="350" spans="1:54" ht="15" x14ac:dyDescent="0.25">
      <c r="A350" s="143" t="s">
        <v>433</v>
      </c>
      <c r="B350" s="15">
        <v>8</v>
      </c>
      <c r="C350" s="8">
        <v>6</v>
      </c>
      <c r="D350" s="8"/>
      <c r="E350" s="107"/>
      <c r="F350" s="137"/>
      <c r="G350" s="107"/>
      <c r="H350" s="107"/>
      <c r="I350" s="107"/>
      <c r="J350" s="107"/>
      <c r="K350" s="107"/>
      <c r="L350" s="107"/>
      <c r="M350" s="107"/>
      <c r="N350" s="107"/>
      <c r="O350" s="107"/>
      <c r="P350" s="107"/>
      <c r="Q350" s="107"/>
      <c r="R350" s="107"/>
      <c r="S350" s="107"/>
      <c r="T350" s="107"/>
      <c r="U350" s="107"/>
      <c r="V350" s="107"/>
      <c r="W350" s="107"/>
      <c r="X350" s="107"/>
      <c r="Y350" s="107"/>
      <c r="Z350" s="107"/>
      <c r="AA350" s="107"/>
      <c r="AB350" s="107"/>
      <c r="AC350" s="107"/>
      <c r="AD350" s="107"/>
      <c r="AE350" s="107"/>
      <c r="AF350" s="107"/>
      <c r="AG350" s="107"/>
      <c r="AH350" s="107"/>
      <c r="AI350" s="107"/>
      <c r="AJ350" s="107"/>
      <c r="AK350" s="107"/>
      <c r="AL350" s="107"/>
      <c r="AM350" s="107"/>
      <c r="AN350" s="107"/>
      <c r="AO350" s="107"/>
      <c r="AP350" s="107"/>
      <c r="AQ350" s="107"/>
      <c r="AR350" s="107"/>
      <c r="AS350" s="107"/>
      <c r="AT350" s="107"/>
      <c r="AU350" s="107"/>
      <c r="AV350" s="107"/>
      <c r="AW350" s="107"/>
      <c r="AX350" s="107"/>
      <c r="AY350" s="107"/>
      <c r="AZ350" s="107"/>
      <c r="BA350" s="107"/>
      <c r="BB350" s="107"/>
    </row>
    <row r="351" spans="1:54" ht="15" x14ac:dyDescent="0.25">
      <c r="A351" s="143" t="s">
        <v>438</v>
      </c>
      <c r="B351" s="15">
        <v>5</v>
      </c>
      <c r="C351" s="8"/>
      <c r="D351" s="8"/>
      <c r="E351" s="107"/>
      <c r="F351" s="137"/>
      <c r="G351" s="107"/>
      <c r="H351" s="107"/>
      <c r="I351" s="107"/>
      <c r="J351" s="107"/>
      <c r="K351" s="107"/>
      <c r="L351" s="107"/>
      <c r="M351" s="107"/>
      <c r="N351" s="107"/>
      <c r="O351" s="107"/>
      <c r="P351" s="107"/>
      <c r="Q351" s="107"/>
      <c r="R351" s="107"/>
      <c r="S351" s="107"/>
      <c r="T351" s="107"/>
      <c r="U351" s="107"/>
      <c r="V351" s="107"/>
      <c r="W351" s="107"/>
      <c r="X351" s="107"/>
      <c r="Y351" s="107"/>
      <c r="Z351" s="107"/>
      <c r="AA351" s="107"/>
      <c r="AB351" s="107"/>
      <c r="AC351" s="107"/>
      <c r="AD351" s="107"/>
      <c r="AE351" s="107"/>
      <c r="AF351" s="107"/>
      <c r="AG351" s="107"/>
      <c r="AH351" s="107"/>
      <c r="AI351" s="107"/>
      <c r="AJ351" s="107"/>
      <c r="AK351" s="107"/>
      <c r="AL351" s="107"/>
      <c r="AM351" s="107"/>
      <c r="AN351" s="107"/>
      <c r="AO351" s="107"/>
      <c r="AP351" s="107"/>
      <c r="AQ351" s="107"/>
      <c r="AR351" s="107"/>
      <c r="AS351" s="107"/>
      <c r="AT351" s="107"/>
      <c r="AU351" s="107"/>
      <c r="AV351" s="107"/>
      <c r="AW351" s="107"/>
      <c r="AX351" s="107"/>
      <c r="AY351" s="107"/>
      <c r="AZ351" s="107"/>
      <c r="BA351" s="107"/>
      <c r="BB351" s="107"/>
    </row>
    <row r="352" spans="1:54" ht="15" x14ac:dyDescent="0.25">
      <c r="A352" s="143" t="s">
        <v>511</v>
      </c>
      <c r="B352" s="15">
        <v>1</v>
      </c>
      <c r="C352" s="8"/>
      <c r="D352" s="8"/>
      <c r="E352" s="107"/>
      <c r="F352" s="137"/>
      <c r="G352" s="107"/>
      <c r="H352" s="107"/>
      <c r="I352" s="107"/>
      <c r="J352" s="107"/>
      <c r="K352" s="107"/>
      <c r="L352" s="107"/>
      <c r="M352" s="107"/>
      <c r="N352" s="107"/>
      <c r="O352" s="107"/>
      <c r="P352" s="107"/>
      <c r="Q352" s="107"/>
      <c r="R352" s="107"/>
      <c r="S352" s="107"/>
      <c r="T352" s="107"/>
      <c r="U352" s="107"/>
      <c r="V352" s="107"/>
      <c r="W352" s="107"/>
      <c r="X352" s="107"/>
      <c r="Y352" s="107"/>
      <c r="Z352" s="107"/>
      <c r="AA352" s="107"/>
      <c r="AB352" s="107"/>
      <c r="AC352" s="107"/>
      <c r="AD352" s="107"/>
      <c r="AE352" s="107"/>
      <c r="AF352" s="107"/>
      <c r="AG352" s="107"/>
      <c r="AH352" s="107"/>
      <c r="AI352" s="107"/>
      <c r="AJ352" s="107"/>
      <c r="AK352" s="107"/>
      <c r="AL352" s="107"/>
      <c r="AM352" s="107"/>
      <c r="AN352" s="107"/>
      <c r="AO352" s="107"/>
      <c r="AP352" s="107"/>
      <c r="AQ352" s="107"/>
      <c r="AR352" s="107"/>
      <c r="AS352" s="107"/>
      <c r="AT352" s="107"/>
      <c r="AU352" s="107"/>
      <c r="AV352" s="107"/>
      <c r="AW352" s="107"/>
      <c r="AX352" s="107"/>
      <c r="AY352" s="107"/>
      <c r="AZ352" s="107"/>
      <c r="BA352" s="107"/>
      <c r="BB352" s="107"/>
    </row>
    <row r="353" spans="1:54" ht="15" x14ac:dyDescent="0.25">
      <c r="A353" s="143" t="s">
        <v>450</v>
      </c>
      <c r="B353" s="15">
        <v>1</v>
      </c>
      <c r="C353" s="8">
        <v>2</v>
      </c>
      <c r="D353" s="8"/>
      <c r="E353" s="107"/>
      <c r="F353" s="137"/>
      <c r="G353" s="107"/>
      <c r="H353" s="107"/>
      <c r="I353" s="107"/>
      <c r="J353" s="107"/>
      <c r="K353" s="107"/>
      <c r="L353" s="107"/>
      <c r="M353" s="107"/>
      <c r="N353" s="107"/>
      <c r="O353" s="107"/>
      <c r="P353" s="107"/>
      <c r="Q353" s="107"/>
      <c r="R353" s="107"/>
      <c r="S353" s="107"/>
      <c r="T353" s="107"/>
      <c r="U353" s="107"/>
      <c r="V353" s="107"/>
      <c r="W353" s="107"/>
      <c r="X353" s="107"/>
      <c r="Y353" s="107"/>
      <c r="Z353" s="107"/>
      <c r="AA353" s="107"/>
      <c r="AB353" s="107"/>
      <c r="AC353" s="107"/>
      <c r="AD353" s="107"/>
      <c r="AE353" s="107"/>
      <c r="AF353" s="107"/>
      <c r="AG353" s="107"/>
      <c r="AH353" s="107"/>
      <c r="AI353" s="107"/>
      <c r="AJ353" s="107"/>
      <c r="AK353" s="107"/>
      <c r="AL353" s="107"/>
      <c r="AM353" s="107"/>
      <c r="AN353" s="107"/>
      <c r="AO353" s="107"/>
      <c r="AP353" s="107"/>
      <c r="AQ353" s="107"/>
      <c r="AR353" s="107"/>
      <c r="AS353" s="107"/>
      <c r="AT353" s="107"/>
      <c r="AU353" s="107"/>
      <c r="AV353" s="107"/>
      <c r="AW353" s="107"/>
      <c r="AX353" s="107"/>
      <c r="AY353" s="107"/>
      <c r="AZ353" s="107"/>
      <c r="BA353" s="107"/>
      <c r="BB353" s="107"/>
    </row>
    <row r="354" spans="1:54" ht="15" x14ac:dyDescent="0.25">
      <c r="A354" s="143" t="s">
        <v>453</v>
      </c>
      <c r="B354" s="15"/>
      <c r="C354" s="8">
        <v>2</v>
      </c>
      <c r="D354" s="8"/>
      <c r="E354" s="107"/>
      <c r="F354" s="137"/>
      <c r="G354" s="107"/>
      <c r="H354" s="107"/>
      <c r="I354" s="107"/>
      <c r="J354" s="107"/>
      <c r="K354" s="107"/>
      <c r="L354" s="107"/>
      <c r="M354" s="107"/>
      <c r="N354" s="107"/>
      <c r="O354" s="107"/>
      <c r="P354" s="107"/>
      <c r="Q354" s="107"/>
      <c r="R354" s="107"/>
      <c r="S354" s="107"/>
      <c r="T354" s="107"/>
      <c r="U354" s="107"/>
      <c r="V354" s="107"/>
      <c r="W354" s="107"/>
      <c r="X354" s="107"/>
      <c r="Y354" s="107"/>
      <c r="Z354" s="107"/>
      <c r="AA354" s="107"/>
      <c r="AB354" s="107"/>
      <c r="AC354" s="107"/>
      <c r="AD354" s="107"/>
      <c r="AE354" s="107"/>
      <c r="AF354" s="107"/>
      <c r="AG354" s="107"/>
      <c r="AH354" s="107"/>
      <c r="AI354" s="107"/>
      <c r="AJ354" s="107"/>
      <c r="AK354" s="107"/>
      <c r="AL354" s="107"/>
      <c r="AM354" s="107"/>
      <c r="AN354" s="107"/>
      <c r="AO354" s="107"/>
      <c r="AP354" s="107"/>
      <c r="AQ354" s="107"/>
      <c r="AR354" s="107"/>
      <c r="AS354" s="107"/>
      <c r="AT354" s="107"/>
      <c r="AU354" s="107"/>
      <c r="AV354" s="107"/>
      <c r="AW354" s="107"/>
      <c r="AX354" s="107"/>
      <c r="AY354" s="107"/>
      <c r="AZ354" s="107"/>
      <c r="BA354" s="107"/>
      <c r="BB354" s="107"/>
    </row>
    <row r="355" spans="1:54" ht="15" x14ac:dyDescent="0.25">
      <c r="A355" s="143" t="s">
        <v>455</v>
      </c>
      <c r="B355" s="15">
        <v>1</v>
      </c>
      <c r="C355" s="8">
        <v>1</v>
      </c>
      <c r="D355" s="8"/>
      <c r="E355" s="107"/>
      <c r="F355" s="137"/>
      <c r="G355" s="107"/>
      <c r="H355" s="107"/>
      <c r="I355" s="107"/>
      <c r="J355" s="107"/>
      <c r="K355" s="107"/>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c r="AI355" s="107"/>
      <c r="AJ355" s="107"/>
      <c r="AK355" s="107"/>
      <c r="AL355" s="107"/>
      <c r="AM355" s="107"/>
      <c r="AN355" s="107"/>
      <c r="AO355" s="107"/>
      <c r="AP355" s="107"/>
      <c r="AQ355" s="107"/>
      <c r="AR355" s="107"/>
      <c r="AS355" s="107"/>
      <c r="AT355" s="107"/>
      <c r="AU355" s="107"/>
      <c r="AV355" s="107"/>
      <c r="AW355" s="107"/>
      <c r="AX355" s="107"/>
      <c r="AY355" s="107"/>
      <c r="AZ355" s="107"/>
      <c r="BA355" s="107"/>
      <c r="BB355" s="107"/>
    </row>
    <row r="356" spans="1:54" ht="15" x14ac:dyDescent="0.25">
      <c r="A356" s="143" t="s">
        <v>517</v>
      </c>
      <c r="B356" s="15">
        <v>30</v>
      </c>
      <c r="C356" s="8"/>
      <c r="D356" s="8"/>
      <c r="E356" s="107"/>
      <c r="F356" s="137"/>
      <c r="G356" s="107"/>
      <c r="H356" s="107"/>
      <c r="I356" s="107"/>
      <c r="J356" s="107"/>
      <c r="K356" s="107"/>
      <c r="L356" s="107"/>
      <c r="M356" s="107"/>
      <c r="N356" s="107"/>
      <c r="O356" s="107"/>
      <c r="P356" s="107"/>
      <c r="Q356" s="107"/>
      <c r="R356" s="107"/>
      <c r="S356" s="107"/>
      <c r="T356" s="107"/>
      <c r="U356" s="107"/>
      <c r="V356" s="107"/>
      <c r="W356" s="107"/>
      <c r="X356" s="107"/>
      <c r="Y356" s="107"/>
      <c r="Z356" s="107"/>
      <c r="AA356" s="107"/>
      <c r="AB356" s="107"/>
      <c r="AC356" s="107"/>
      <c r="AD356" s="107"/>
      <c r="AE356" s="107"/>
      <c r="AF356" s="107"/>
      <c r="AG356" s="107"/>
      <c r="AH356" s="107"/>
      <c r="AI356" s="107"/>
      <c r="AJ356" s="107"/>
      <c r="AK356" s="107"/>
      <c r="AL356" s="107"/>
      <c r="AM356" s="107"/>
      <c r="AN356" s="107"/>
      <c r="AO356" s="107"/>
      <c r="AP356" s="107"/>
      <c r="AQ356" s="107"/>
      <c r="AR356" s="107"/>
      <c r="AS356" s="107"/>
      <c r="AT356" s="107"/>
      <c r="AU356" s="107"/>
      <c r="AV356" s="107"/>
      <c r="AW356" s="107"/>
      <c r="AX356" s="107"/>
      <c r="AY356" s="107"/>
      <c r="AZ356" s="107"/>
      <c r="BA356" s="107"/>
      <c r="BB356" s="107"/>
    </row>
    <row r="357" spans="1:54" ht="15" x14ac:dyDescent="0.25">
      <c r="A357" s="143" t="s">
        <v>505</v>
      </c>
      <c r="B357" s="15">
        <v>50</v>
      </c>
      <c r="C357" s="8"/>
      <c r="D357" s="8"/>
      <c r="E357" s="107"/>
      <c r="F357" s="137"/>
      <c r="G357" s="107"/>
      <c r="H357" s="107"/>
      <c r="I357" s="107"/>
      <c r="J357" s="107"/>
      <c r="K357" s="107"/>
      <c r="L357" s="107"/>
      <c r="M357" s="107"/>
      <c r="N357" s="107"/>
      <c r="O357" s="107"/>
      <c r="P357" s="107"/>
      <c r="Q357" s="107"/>
      <c r="R357" s="107"/>
      <c r="S357" s="107"/>
      <c r="T357" s="107"/>
      <c r="U357" s="107"/>
      <c r="V357" s="107"/>
      <c r="W357" s="107"/>
      <c r="X357" s="107"/>
      <c r="Y357" s="107"/>
      <c r="Z357" s="107"/>
      <c r="AA357" s="107"/>
      <c r="AB357" s="107"/>
      <c r="AC357" s="107"/>
      <c r="AD357" s="107"/>
      <c r="AE357" s="107"/>
      <c r="AF357" s="107"/>
      <c r="AG357" s="107"/>
      <c r="AH357" s="107"/>
      <c r="AI357" s="107"/>
      <c r="AJ357" s="107"/>
      <c r="AK357" s="107"/>
      <c r="AL357" s="107"/>
      <c r="AM357" s="107"/>
      <c r="AN357" s="107"/>
      <c r="AO357" s="107"/>
      <c r="AP357" s="107"/>
      <c r="AQ357" s="107"/>
      <c r="AR357" s="107"/>
      <c r="AS357" s="107"/>
      <c r="AT357" s="107"/>
      <c r="AU357" s="107"/>
      <c r="AV357" s="107"/>
      <c r="AW357" s="107"/>
      <c r="AX357" s="107"/>
      <c r="AY357" s="107"/>
      <c r="AZ357" s="107"/>
      <c r="BA357" s="107"/>
      <c r="BB357" s="107"/>
    </row>
    <row r="358" spans="1:54" ht="15" x14ac:dyDescent="0.25">
      <c r="A358" s="143" t="s">
        <v>557</v>
      </c>
      <c r="B358" s="15"/>
      <c r="C358" s="8"/>
      <c r="D358" s="8">
        <v>20</v>
      </c>
      <c r="E358" s="107"/>
      <c r="F358" s="137"/>
      <c r="G358" s="107"/>
      <c r="H358" s="107"/>
      <c r="I358" s="107"/>
      <c r="J358" s="107"/>
      <c r="K358" s="107"/>
      <c r="L358" s="107"/>
      <c r="M358" s="107"/>
      <c r="N358" s="107"/>
      <c r="O358" s="107"/>
      <c r="P358" s="107"/>
      <c r="Q358" s="107"/>
      <c r="R358" s="107"/>
      <c r="S358" s="107"/>
      <c r="T358" s="107"/>
      <c r="U358" s="107"/>
      <c r="V358" s="107"/>
      <c r="W358" s="107"/>
      <c r="X358" s="107"/>
      <c r="Y358" s="107"/>
      <c r="Z358" s="107"/>
      <c r="AA358" s="107"/>
      <c r="AB358" s="107"/>
      <c r="AC358" s="107"/>
      <c r="AD358" s="107"/>
      <c r="AE358" s="107"/>
      <c r="AF358" s="107"/>
      <c r="AG358" s="107"/>
      <c r="AH358" s="107"/>
      <c r="AI358" s="107"/>
      <c r="AJ358" s="107"/>
      <c r="AK358" s="107"/>
      <c r="AL358" s="107"/>
      <c r="AM358" s="107"/>
      <c r="AN358" s="107"/>
      <c r="AO358" s="107"/>
      <c r="AP358" s="107"/>
      <c r="AQ358" s="107"/>
      <c r="AR358" s="107"/>
      <c r="AS358" s="107"/>
      <c r="AT358" s="107"/>
      <c r="AU358" s="107"/>
      <c r="AV358" s="107"/>
      <c r="AW358" s="107"/>
      <c r="AX358" s="107"/>
      <c r="AY358" s="107"/>
      <c r="AZ358" s="107"/>
      <c r="BA358" s="107"/>
      <c r="BB358" s="107"/>
    </row>
    <row r="359" spans="1:54" ht="15" x14ac:dyDescent="0.25">
      <c r="A359" s="143" t="s">
        <v>588</v>
      </c>
      <c r="B359" s="15"/>
      <c r="C359" s="8"/>
      <c r="D359" s="8">
        <v>3</v>
      </c>
      <c r="E359" s="107"/>
      <c r="F359" s="137"/>
      <c r="G359" s="107"/>
      <c r="H359" s="107"/>
      <c r="I359" s="107"/>
      <c r="J359" s="107"/>
      <c r="K359" s="107"/>
      <c r="L359" s="107"/>
      <c r="M359" s="107"/>
      <c r="N359" s="107"/>
      <c r="O359" s="107"/>
      <c r="P359" s="107"/>
      <c r="Q359" s="107"/>
      <c r="R359" s="107"/>
      <c r="S359" s="107"/>
      <c r="T359" s="107"/>
      <c r="U359" s="107"/>
      <c r="V359" s="107"/>
      <c r="W359" s="107"/>
      <c r="X359" s="107"/>
      <c r="Y359" s="107"/>
      <c r="Z359" s="107"/>
      <c r="AA359" s="107"/>
      <c r="AB359" s="107"/>
      <c r="AC359" s="107"/>
      <c r="AD359" s="107"/>
      <c r="AE359" s="107"/>
      <c r="AF359" s="107"/>
      <c r="AG359" s="107"/>
      <c r="AH359" s="107"/>
      <c r="AI359" s="107"/>
      <c r="AJ359" s="107"/>
      <c r="AK359" s="107"/>
      <c r="AL359" s="107"/>
      <c r="AM359" s="107"/>
      <c r="AN359" s="107"/>
      <c r="AO359" s="107"/>
      <c r="AP359" s="107"/>
      <c r="AQ359" s="107"/>
      <c r="AR359" s="107"/>
      <c r="AS359" s="107"/>
      <c r="AT359" s="107"/>
      <c r="AU359" s="107"/>
      <c r="AV359" s="107"/>
      <c r="AW359" s="107"/>
      <c r="AX359" s="107"/>
      <c r="AY359" s="107"/>
      <c r="AZ359" s="107"/>
      <c r="BA359" s="107"/>
      <c r="BB359" s="107"/>
    </row>
    <row r="360" spans="1:54" ht="15" x14ac:dyDescent="0.25">
      <c r="A360" s="143" t="s">
        <v>555</v>
      </c>
      <c r="B360" s="15"/>
      <c r="C360" s="8"/>
      <c r="D360" s="8">
        <v>100</v>
      </c>
      <c r="E360" s="107"/>
      <c r="F360" s="137"/>
      <c r="G360" s="107"/>
      <c r="H360" s="107"/>
      <c r="I360" s="107"/>
      <c r="J360" s="107"/>
      <c r="K360" s="107"/>
      <c r="L360" s="107"/>
      <c r="M360" s="107"/>
      <c r="N360" s="107"/>
      <c r="O360" s="107"/>
      <c r="P360" s="107"/>
      <c r="Q360" s="107"/>
      <c r="R360" s="107"/>
      <c r="S360" s="107"/>
      <c r="T360" s="107"/>
      <c r="U360" s="107"/>
      <c r="V360" s="107"/>
      <c r="W360" s="107"/>
      <c r="X360" s="107"/>
      <c r="Y360" s="107"/>
      <c r="Z360" s="107"/>
      <c r="AA360" s="107"/>
      <c r="AB360" s="107"/>
      <c r="AC360" s="107"/>
      <c r="AD360" s="107"/>
      <c r="AE360" s="107"/>
      <c r="AF360" s="107"/>
      <c r="AG360" s="107"/>
      <c r="AH360" s="107"/>
      <c r="AI360" s="107"/>
      <c r="AJ360" s="107"/>
      <c r="AK360" s="107"/>
      <c r="AL360" s="107"/>
      <c r="AM360" s="107"/>
      <c r="AN360" s="107"/>
      <c r="AO360" s="107"/>
      <c r="AP360" s="107"/>
      <c r="AQ360" s="107"/>
      <c r="AR360" s="107"/>
      <c r="AS360" s="107"/>
      <c r="AT360" s="107"/>
      <c r="AU360" s="107"/>
      <c r="AV360" s="107"/>
      <c r="AW360" s="107"/>
      <c r="AX360" s="107"/>
      <c r="AY360" s="107"/>
      <c r="AZ360" s="107"/>
      <c r="BA360" s="107"/>
      <c r="BB360" s="107"/>
    </row>
    <row r="361" spans="1:54" ht="17.399999999999999" x14ac:dyDescent="0.3">
      <c r="A361" s="145" t="s">
        <v>805</v>
      </c>
      <c r="B361" s="74"/>
      <c r="C361" s="8"/>
      <c r="D361" s="8"/>
      <c r="E361" s="107"/>
      <c r="F361" s="137"/>
      <c r="G361" s="107"/>
      <c r="H361" s="107"/>
      <c r="I361" s="107"/>
      <c r="J361" s="107"/>
      <c r="K361" s="107"/>
      <c r="L361" s="107"/>
      <c r="M361" s="107"/>
      <c r="N361" s="107"/>
      <c r="O361" s="107"/>
      <c r="P361" s="107"/>
      <c r="Q361" s="107"/>
      <c r="R361" s="107"/>
      <c r="S361" s="107"/>
      <c r="T361" s="107"/>
      <c r="U361" s="107"/>
      <c r="V361" s="107"/>
      <c r="W361" s="107"/>
      <c r="X361" s="107"/>
      <c r="Y361" s="107"/>
      <c r="Z361" s="107"/>
      <c r="AA361" s="107"/>
      <c r="AB361" s="107"/>
      <c r="AC361" s="107"/>
      <c r="AD361" s="107"/>
      <c r="AE361" s="107"/>
      <c r="AF361" s="107"/>
      <c r="AG361" s="107"/>
      <c r="AH361" s="107"/>
      <c r="AI361" s="107"/>
      <c r="AJ361" s="107"/>
      <c r="AK361" s="107"/>
      <c r="AL361" s="107"/>
      <c r="AM361" s="107"/>
      <c r="AN361" s="107"/>
      <c r="AO361" s="107"/>
      <c r="AP361" s="107"/>
      <c r="AQ361" s="107"/>
      <c r="AR361" s="107"/>
      <c r="AS361" s="107"/>
      <c r="AT361" s="107"/>
      <c r="AU361" s="107"/>
      <c r="AV361" s="107"/>
      <c r="AW361" s="107"/>
      <c r="AX361" s="107"/>
      <c r="AY361" s="107"/>
      <c r="AZ361" s="107"/>
      <c r="BA361" s="107"/>
      <c r="BB361" s="107"/>
    </row>
    <row r="362" spans="1:54" ht="15" x14ac:dyDescent="0.25">
      <c r="A362" s="143" t="s">
        <v>752</v>
      </c>
      <c r="B362" s="15"/>
      <c r="C362" s="8">
        <v>1</v>
      </c>
      <c r="D362" s="8"/>
      <c r="E362" s="107"/>
      <c r="F362" s="137"/>
      <c r="G362" s="107"/>
      <c r="H362" s="107"/>
      <c r="I362" s="107"/>
      <c r="J362" s="107"/>
      <c r="K362" s="107"/>
      <c r="L362" s="107"/>
      <c r="M362" s="107"/>
      <c r="N362" s="107"/>
      <c r="O362" s="107"/>
      <c r="P362" s="107"/>
      <c r="Q362" s="107"/>
      <c r="R362" s="107"/>
      <c r="S362" s="107"/>
      <c r="T362" s="107"/>
      <c r="U362" s="107"/>
      <c r="V362" s="107"/>
      <c r="W362" s="107"/>
      <c r="X362" s="107"/>
      <c r="Y362" s="107"/>
      <c r="Z362" s="107"/>
      <c r="AA362" s="107"/>
      <c r="AB362" s="107"/>
      <c r="AC362" s="107"/>
      <c r="AD362" s="107"/>
      <c r="AE362" s="107"/>
      <c r="AF362" s="107"/>
      <c r="AG362" s="107"/>
      <c r="AH362" s="107"/>
      <c r="AI362" s="107"/>
      <c r="AJ362" s="107"/>
      <c r="AK362" s="107"/>
      <c r="AL362" s="107"/>
      <c r="AM362" s="107"/>
      <c r="AN362" s="107"/>
      <c r="AO362" s="107"/>
      <c r="AP362" s="107"/>
      <c r="AQ362" s="107"/>
      <c r="AR362" s="107"/>
      <c r="AS362" s="107"/>
      <c r="AT362" s="107"/>
      <c r="AU362" s="107"/>
      <c r="AV362" s="107"/>
      <c r="AW362" s="107"/>
      <c r="AX362" s="107"/>
      <c r="AY362" s="107"/>
      <c r="AZ362" s="107"/>
      <c r="BA362" s="107"/>
      <c r="BB362" s="107"/>
    </row>
    <row r="363" spans="1:54" ht="15" x14ac:dyDescent="0.25">
      <c r="A363" s="143" t="s">
        <v>399</v>
      </c>
      <c r="B363" s="15"/>
      <c r="C363" s="8">
        <v>1</v>
      </c>
      <c r="D363" s="8"/>
      <c r="E363" s="107"/>
      <c r="F363" s="137"/>
      <c r="G363" s="107"/>
      <c r="H363" s="107"/>
      <c r="I363" s="107"/>
      <c r="J363" s="107"/>
      <c r="K363" s="107"/>
      <c r="L363" s="107"/>
      <c r="M363" s="107"/>
      <c r="N363" s="107"/>
      <c r="O363" s="107"/>
      <c r="P363" s="107"/>
      <c r="Q363" s="107"/>
      <c r="R363" s="107"/>
      <c r="S363" s="107"/>
      <c r="T363" s="107"/>
      <c r="U363" s="107"/>
      <c r="V363" s="107"/>
      <c r="W363" s="107"/>
      <c r="X363" s="107"/>
      <c r="Y363" s="107"/>
      <c r="Z363" s="107"/>
      <c r="AA363" s="107"/>
      <c r="AB363" s="107"/>
      <c r="AC363" s="107"/>
      <c r="AD363" s="107"/>
      <c r="AE363" s="107"/>
      <c r="AF363" s="107"/>
      <c r="AG363" s="107"/>
      <c r="AH363" s="107"/>
      <c r="AI363" s="107"/>
      <c r="AJ363" s="107"/>
      <c r="AK363" s="107"/>
      <c r="AL363" s="107"/>
      <c r="AM363" s="107"/>
      <c r="AN363" s="107"/>
      <c r="AO363" s="107"/>
      <c r="AP363" s="107"/>
      <c r="AQ363" s="107"/>
      <c r="AR363" s="107"/>
      <c r="AS363" s="107"/>
      <c r="AT363" s="107"/>
      <c r="AU363" s="107"/>
      <c r="AV363" s="107"/>
      <c r="AW363" s="107"/>
      <c r="AX363" s="107"/>
      <c r="AY363" s="107"/>
      <c r="AZ363" s="107"/>
      <c r="BA363" s="107"/>
      <c r="BB363" s="107"/>
    </row>
    <row r="364" spans="1:54" ht="15" x14ac:dyDescent="0.25">
      <c r="A364" s="143" t="s">
        <v>413</v>
      </c>
      <c r="B364" s="15">
        <v>14</v>
      </c>
      <c r="C364" s="8">
        <v>13</v>
      </c>
      <c r="D364" s="8">
        <v>4</v>
      </c>
      <c r="E364" s="107"/>
      <c r="F364" s="137"/>
      <c r="G364" s="107"/>
      <c r="H364" s="107"/>
      <c r="I364" s="107"/>
      <c r="J364" s="107"/>
      <c r="K364" s="107"/>
      <c r="L364" s="107"/>
      <c r="M364" s="107"/>
      <c r="N364" s="107"/>
      <c r="O364" s="107"/>
      <c r="P364" s="107"/>
      <c r="Q364" s="107"/>
      <c r="R364" s="107"/>
      <c r="S364" s="107"/>
      <c r="T364" s="107"/>
      <c r="U364" s="107"/>
      <c r="V364" s="107"/>
      <c r="W364" s="107"/>
      <c r="X364" s="107"/>
      <c r="Y364" s="107"/>
      <c r="Z364" s="107"/>
      <c r="AA364" s="107"/>
      <c r="AB364" s="107"/>
      <c r="AC364" s="107"/>
      <c r="AD364" s="107"/>
      <c r="AE364" s="107"/>
      <c r="AF364" s="107"/>
      <c r="AG364" s="107"/>
      <c r="AH364" s="107"/>
      <c r="AI364" s="107"/>
      <c r="AJ364" s="107"/>
      <c r="AK364" s="107"/>
      <c r="AL364" s="107"/>
      <c r="AM364" s="107"/>
      <c r="AN364" s="107"/>
      <c r="AO364" s="107"/>
      <c r="AP364" s="107"/>
      <c r="AQ364" s="107"/>
      <c r="AR364" s="107"/>
      <c r="AS364" s="107"/>
      <c r="AT364" s="107"/>
      <c r="AU364" s="107"/>
      <c r="AV364" s="107"/>
      <c r="AW364" s="107"/>
      <c r="AX364" s="107"/>
      <c r="AY364" s="107"/>
      <c r="AZ364" s="107"/>
      <c r="BA364" s="107"/>
      <c r="BB364" s="107"/>
    </row>
    <row r="365" spans="1:54" ht="15" x14ac:dyDescent="0.25">
      <c r="A365" s="143" t="s">
        <v>419</v>
      </c>
      <c r="B365" s="15">
        <v>2</v>
      </c>
      <c r="C365" s="8">
        <v>1</v>
      </c>
      <c r="D365" s="8"/>
      <c r="E365" s="107"/>
      <c r="F365" s="137"/>
      <c r="G365" s="107"/>
      <c r="H365" s="107"/>
      <c r="I365" s="107"/>
      <c r="J365" s="107"/>
      <c r="K365" s="107"/>
      <c r="L365" s="107"/>
      <c r="M365" s="107"/>
      <c r="N365" s="107"/>
      <c r="O365" s="107"/>
      <c r="P365" s="107"/>
      <c r="Q365" s="107"/>
      <c r="R365" s="107"/>
      <c r="S365" s="107"/>
      <c r="T365" s="107"/>
      <c r="U365" s="107"/>
      <c r="V365" s="107"/>
      <c r="W365" s="107"/>
      <c r="X365" s="107"/>
      <c r="Y365" s="107"/>
      <c r="Z365" s="107"/>
      <c r="AA365" s="107"/>
      <c r="AB365" s="107"/>
      <c r="AC365" s="107"/>
      <c r="AD365" s="107"/>
      <c r="AE365" s="107"/>
      <c r="AF365" s="107"/>
      <c r="AG365" s="107"/>
      <c r="AH365" s="107"/>
      <c r="AI365" s="107"/>
      <c r="AJ365" s="107"/>
      <c r="AK365" s="107"/>
      <c r="AL365" s="107"/>
      <c r="AM365" s="107"/>
      <c r="AN365" s="107"/>
      <c r="AO365" s="107"/>
      <c r="AP365" s="107"/>
      <c r="AQ365" s="107"/>
      <c r="AR365" s="107"/>
      <c r="AS365" s="107"/>
      <c r="AT365" s="107"/>
      <c r="AU365" s="107"/>
      <c r="AV365" s="107"/>
      <c r="AW365" s="107"/>
      <c r="AX365" s="107"/>
      <c r="AY365" s="107"/>
      <c r="AZ365" s="107"/>
      <c r="BA365" s="107"/>
      <c r="BB365" s="107"/>
    </row>
    <row r="366" spans="1:54" ht="15" x14ac:dyDescent="0.25">
      <c r="A366" s="143" t="s">
        <v>447</v>
      </c>
      <c r="B366" s="15">
        <v>2</v>
      </c>
      <c r="C366" s="8"/>
      <c r="D366" s="8">
        <v>1</v>
      </c>
      <c r="E366" s="107"/>
      <c r="F366" s="137"/>
      <c r="G366" s="107"/>
      <c r="H366" s="107"/>
      <c r="I366" s="107"/>
      <c r="J366" s="107"/>
      <c r="K366" s="107"/>
      <c r="L366" s="107"/>
      <c r="M366" s="107"/>
      <c r="N366" s="107"/>
      <c r="O366" s="107"/>
      <c r="P366" s="107"/>
      <c r="Q366" s="107"/>
      <c r="R366" s="107"/>
      <c r="S366" s="107"/>
      <c r="T366" s="107"/>
      <c r="U366" s="107"/>
      <c r="V366" s="107"/>
      <c r="W366" s="107"/>
      <c r="X366" s="107"/>
      <c r="Y366" s="107"/>
      <c r="Z366" s="107"/>
      <c r="AA366" s="107"/>
      <c r="AB366" s="107"/>
      <c r="AC366" s="107"/>
      <c r="AD366" s="107"/>
      <c r="AE366" s="107"/>
      <c r="AF366" s="107"/>
      <c r="AG366" s="107"/>
      <c r="AH366" s="107"/>
      <c r="AI366" s="107"/>
      <c r="AJ366" s="107"/>
      <c r="AK366" s="107"/>
      <c r="AL366" s="107"/>
      <c r="AM366" s="107"/>
      <c r="AN366" s="107"/>
      <c r="AO366" s="107"/>
      <c r="AP366" s="107"/>
      <c r="AQ366" s="107"/>
      <c r="AR366" s="107"/>
      <c r="AS366" s="107"/>
      <c r="AT366" s="107"/>
      <c r="AU366" s="107"/>
      <c r="AV366" s="107"/>
      <c r="AW366" s="107"/>
      <c r="AX366" s="107"/>
      <c r="AY366" s="107"/>
      <c r="AZ366" s="107"/>
      <c r="BA366" s="107"/>
      <c r="BB366" s="107"/>
    </row>
    <row r="367" spans="1:54" ht="15" x14ac:dyDescent="0.25">
      <c r="A367" s="143" t="s">
        <v>449</v>
      </c>
      <c r="B367" s="15">
        <v>1</v>
      </c>
      <c r="C367" s="8">
        <v>2</v>
      </c>
      <c r="D367" s="8">
        <v>1</v>
      </c>
      <c r="E367" s="107"/>
      <c r="F367" s="137"/>
      <c r="G367" s="107"/>
      <c r="H367" s="107"/>
      <c r="I367" s="107"/>
      <c r="J367" s="107"/>
      <c r="K367" s="107"/>
      <c r="L367" s="107"/>
      <c r="M367" s="107"/>
      <c r="N367" s="107"/>
      <c r="O367" s="107"/>
      <c r="P367" s="107"/>
      <c r="Q367" s="107"/>
      <c r="R367" s="107"/>
      <c r="S367" s="107"/>
      <c r="T367" s="107"/>
      <c r="U367" s="107"/>
      <c r="V367" s="107"/>
      <c r="W367" s="107"/>
      <c r="X367" s="107"/>
      <c r="Y367" s="107"/>
      <c r="Z367" s="107"/>
      <c r="AA367" s="107"/>
      <c r="AB367" s="107"/>
      <c r="AC367" s="107"/>
      <c r="AD367" s="107"/>
      <c r="AE367" s="107"/>
      <c r="AF367" s="107"/>
      <c r="AG367" s="107"/>
      <c r="AH367" s="107"/>
      <c r="AI367" s="107"/>
      <c r="AJ367" s="107"/>
      <c r="AK367" s="107"/>
      <c r="AL367" s="107"/>
      <c r="AM367" s="107"/>
      <c r="AN367" s="107"/>
      <c r="AO367" s="107"/>
      <c r="AP367" s="107"/>
      <c r="AQ367" s="107"/>
      <c r="AR367" s="107"/>
      <c r="AS367" s="107"/>
      <c r="AT367" s="107"/>
      <c r="AU367" s="107"/>
      <c r="AV367" s="107"/>
      <c r="AW367" s="107"/>
      <c r="AX367" s="107"/>
      <c r="AY367" s="107"/>
      <c r="AZ367" s="107"/>
      <c r="BA367" s="107"/>
      <c r="BB367" s="107"/>
    </row>
    <row r="368" spans="1:54" ht="15" x14ac:dyDescent="0.25">
      <c r="A368" s="143" t="s">
        <v>753</v>
      </c>
      <c r="B368" s="15">
        <v>1</v>
      </c>
      <c r="C368" s="8"/>
      <c r="D368" s="8"/>
      <c r="E368" s="107"/>
      <c r="F368" s="137"/>
      <c r="G368" s="107"/>
      <c r="H368" s="107"/>
      <c r="I368" s="107"/>
      <c r="J368" s="107"/>
      <c r="K368" s="107"/>
      <c r="L368" s="107"/>
      <c r="M368" s="107"/>
      <c r="N368" s="107"/>
      <c r="O368" s="107"/>
      <c r="P368" s="107"/>
      <c r="Q368" s="107"/>
      <c r="R368" s="107"/>
      <c r="S368" s="107"/>
      <c r="T368" s="107"/>
      <c r="U368" s="107"/>
      <c r="V368" s="107"/>
      <c r="W368" s="107"/>
      <c r="X368" s="107"/>
      <c r="Y368" s="107"/>
      <c r="Z368" s="107"/>
      <c r="AA368" s="107"/>
      <c r="AB368" s="107"/>
      <c r="AC368" s="107"/>
      <c r="AD368" s="107"/>
      <c r="AE368" s="107"/>
      <c r="AF368" s="107"/>
      <c r="AG368" s="107"/>
      <c r="AH368" s="107"/>
      <c r="AI368" s="107"/>
      <c r="AJ368" s="107"/>
      <c r="AK368" s="107"/>
      <c r="AL368" s="107"/>
      <c r="AM368" s="107"/>
      <c r="AN368" s="107"/>
      <c r="AO368" s="107"/>
      <c r="AP368" s="107"/>
      <c r="AQ368" s="107"/>
      <c r="AR368" s="107"/>
      <c r="AS368" s="107"/>
      <c r="AT368" s="107"/>
      <c r="AU368" s="107"/>
      <c r="AV368" s="107"/>
      <c r="AW368" s="107"/>
      <c r="AX368" s="107"/>
      <c r="AY368" s="107"/>
      <c r="AZ368" s="107"/>
      <c r="BA368" s="107"/>
      <c r="BB368" s="107"/>
    </row>
    <row r="369" spans="1:54" ht="15" x14ac:dyDescent="0.25">
      <c r="A369" s="143" t="s">
        <v>395</v>
      </c>
      <c r="B369" s="15">
        <v>2</v>
      </c>
      <c r="C369" s="8"/>
      <c r="D369" s="8"/>
      <c r="E369" s="107"/>
      <c r="F369" s="137"/>
      <c r="G369" s="107"/>
      <c r="H369" s="107"/>
      <c r="I369" s="107"/>
      <c r="J369" s="107"/>
      <c r="K369" s="107"/>
      <c r="L369" s="107"/>
      <c r="M369" s="107"/>
      <c r="N369" s="107"/>
      <c r="O369" s="107"/>
      <c r="P369" s="107"/>
      <c r="Q369" s="107"/>
      <c r="R369" s="107"/>
      <c r="S369" s="107"/>
      <c r="T369" s="107"/>
      <c r="U369" s="107"/>
      <c r="V369" s="107"/>
      <c r="W369" s="107"/>
      <c r="X369" s="107"/>
      <c r="Y369" s="107"/>
      <c r="Z369" s="107"/>
      <c r="AA369" s="107"/>
      <c r="AB369" s="107"/>
      <c r="AC369" s="107"/>
      <c r="AD369" s="107"/>
      <c r="AE369" s="107"/>
      <c r="AF369" s="107"/>
      <c r="AG369" s="107"/>
      <c r="AH369" s="107"/>
      <c r="AI369" s="107"/>
      <c r="AJ369" s="107"/>
      <c r="AK369" s="107"/>
      <c r="AL369" s="107"/>
      <c r="AM369" s="107"/>
      <c r="AN369" s="107"/>
      <c r="AO369" s="107"/>
      <c r="AP369" s="107"/>
      <c r="AQ369" s="107"/>
      <c r="AR369" s="107"/>
      <c r="AS369" s="107"/>
      <c r="AT369" s="107"/>
      <c r="AU369" s="107"/>
      <c r="AV369" s="107"/>
      <c r="AW369" s="107"/>
      <c r="AX369" s="107"/>
      <c r="AY369" s="107"/>
      <c r="AZ369" s="107"/>
      <c r="BA369" s="107"/>
      <c r="BB369" s="107"/>
    </row>
    <row r="370" spans="1:54" ht="15" x14ac:dyDescent="0.25">
      <c r="A370" s="143" t="s">
        <v>405</v>
      </c>
      <c r="B370" s="15"/>
      <c r="C370" s="8">
        <v>2</v>
      </c>
      <c r="D370" s="8"/>
      <c r="E370" s="106"/>
      <c r="F370" s="13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c r="AZ370" s="106"/>
      <c r="BA370" s="106"/>
      <c r="BB370" s="106"/>
    </row>
    <row r="371" spans="1:54" ht="15" x14ac:dyDescent="0.25">
      <c r="A371" s="143" t="s">
        <v>397</v>
      </c>
      <c r="B371" s="15"/>
      <c r="C371" s="8"/>
      <c r="D371" s="8">
        <v>1</v>
      </c>
      <c r="E371" s="106"/>
      <c r="F371" s="13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c r="AZ371" s="106"/>
      <c r="BA371" s="106"/>
      <c r="BB371" s="106"/>
    </row>
    <row r="372" spans="1:54" ht="15" x14ac:dyDescent="0.25">
      <c r="A372" s="143" t="s">
        <v>426</v>
      </c>
      <c r="B372" s="15"/>
      <c r="C372" s="8"/>
      <c r="D372" s="8">
        <v>1</v>
      </c>
      <c r="E372" s="107"/>
      <c r="F372" s="137"/>
      <c r="G372" s="107"/>
      <c r="H372" s="107"/>
      <c r="I372" s="107"/>
      <c r="J372" s="107"/>
      <c r="K372" s="107"/>
      <c r="L372" s="107"/>
      <c r="M372" s="107"/>
      <c r="N372" s="107"/>
      <c r="O372" s="107"/>
      <c r="P372" s="107"/>
      <c r="Q372" s="107"/>
      <c r="R372" s="107"/>
      <c r="S372" s="107"/>
      <c r="T372" s="107"/>
      <c r="U372" s="107"/>
      <c r="V372" s="107"/>
      <c r="W372" s="107"/>
      <c r="X372" s="107"/>
      <c r="Y372" s="107"/>
      <c r="Z372" s="107"/>
      <c r="AA372" s="107"/>
      <c r="AB372" s="107"/>
      <c r="AC372" s="107"/>
      <c r="AD372" s="107"/>
      <c r="AE372" s="107"/>
      <c r="AF372" s="107"/>
      <c r="AG372" s="107"/>
      <c r="AH372" s="107"/>
      <c r="AI372" s="107"/>
      <c r="AJ372" s="107"/>
      <c r="AK372" s="107"/>
      <c r="AL372" s="107"/>
      <c r="AM372" s="107"/>
      <c r="AN372" s="107"/>
      <c r="AO372" s="107"/>
      <c r="AP372" s="107"/>
      <c r="AQ372" s="107"/>
      <c r="AR372" s="107"/>
      <c r="AS372" s="107"/>
      <c r="AT372" s="107"/>
      <c r="AU372" s="107"/>
      <c r="AV372" s="107"/>
      <c r="AW372" s="107"/>
      <c r="AX372" s="107"/>
      <c r="AY372" s="107"/>
      <c r="AZ372" s="107"/>
      <c r="BA372" s="107"/>
      <c r="BB372" s="107"/>
    </row>
    <row r="373" spans="1:54" ht="15" x14ac:dyDescent="0.25">
      <c r="A373" s="143" t="s">
        <v>576</v>
      </c>
      <c r="B373" s="15"/>
      <c r="C373" s="8"/>
      <c r="D373" s="8">
        <v>10</v>
      </c>
      <c r="E373" s="107"/>
      <c r="F373" s="137"/>
      <c r="G373" s="107"/>
      <c r="H373" s="107"/>
      <c r="I373" s="107"/>
      <c r="J373" s="107"/>
      <c r="K373" s="107"/>
      <c r="L373" s="107"/>
      <c r="M373" s="107"/>
      <c r="N373" s="107"/>
      <c r="O373" s="107"/>
      <c r="P373" s="107"/>
      <c r="Q373" s="107"/>
      <c r="R373" s="107"/>
      <c r="S373" s="107"/>
      <c r="T373" s="107"/>
      <c r="U373" s="107"/>
      <c r="V373" s="107"/>
      <c r="W373" s="107"/>
      <c r="X373" s="107"/>
      <c r="Y373" s="107"/>
      <c r="Z373" s="107"/>
      <c r="AA373" s="107"/>
      <c r="AB373" s="107"/>
      <c r="AC373" s="107"/>
      <c r="AD373" s="107"/>
      <c r="AE373" s="107"/>
      <c r="AF373" s="107"/>
      <c r="AG373" s="107"/>
      <c r="AH373" s="107"/>
      <c r="AI373" s="107"/>
      <c r="AJ373" s="107"/>
      <c r="AK373" s="107"/>
      <c r="AL373" s="107"/>
      <c r="AM373" s="107"/>
      <c r="AN373" s="107"/>
      <c r="AO373" s="107"/>
      <c r="AP373" s="107"/>
      <c r="AQ373" s="107"/>
      <c r="AR373" s="107"/>
      <c r="AS373" s="107"/>
      <c r="AT373" s="107"/>
      <c r="AU373" s="107"/>
      <c r="AV373" s="107"/>
      <c r="AW373" s="107"/>
      <c r="AX373" s="107"/>
      <c r="AY373" s="107"/>
      <c r="AZ373" s="107"/>
      <c r="BA373" s="107"/>
      <c r="BB373" s="107"/>
    </row>
    <row r="374" spans="1:54" ht="15" x14ac:dyDescent="0.25">
      <c r="A374" s="156" t="s">
        <v>806</v>
      </c>
      <c r="B374" s="74"/>
      <c r="C374" s="8"/>
      <c r="D374" s="8"/>
      <c r="E374" s="107"/>
      <c r="F374" s="137"/>
      <c r="G374" s="107"/>
      <c r="H374" s="107"/>
      <c r="I374" s="107"/>
      <c r="J374" s="107"/>
      <c r="K374" s="107"/>
      <c r="L374" s="107"/>
      <c r="M374" s="107"/>
      <c r="N374" s="107"/>
      <c r="O374" s="107"/>
      <c r="P374" s="107"/>
      <c r="Q374" s="107"/>
      <c r="R374" s="107"/>
      <c r="S374" s="107"/>
      <c r="T374" s="107"/>
      <c r="U374" s="107"/>
      <c r="V374" s="107"/>
      <c r="W374" s="107"/>
      <c r="X374" s="107"/>
      <c r="Y374" s="107"/>
      <c r="Z374" s="107"/>
      <c r="AA374" s="107"/>
      <c r="AB374" s="107"/>
      <c r="AC374" s="107"/>
      <c r="AD374" s="107"/>
      <c r="AE374" s="107"/>
      <c r="AF374" s="107"/>
      <c r="AG374" s="107"/>
      <c r="AH374" s="107"/>
      <c r="AI374" s="107"/>
      <c r="AJ374" s="107"/>
      <c r="AK374" s="107"/>
      <c r="AL374" s="107"/>
      <c r="AM374" s="107"/>
      <c r="AN374" s="107"/>
      <c r="AO374" s="107"/>
      <c r="AP374" s="107"/>
      <c r="AQ374" s="107"/>
      <c r="AR374" s="107"/>
      <c r="AS374" s="107"/>
      <c r="AT374" s="107"/>
      <c r="AU374" s="107"/>
      <c r="AV374" s="107"/>
      <c r="AW374" s="107"/>
      <c r="AX374" s="107"/>
      <c r="AY374" s="107"/>
      <c r="AZ374" s="107"/>
      <c r="BA374" s="107"/>
      <c r="BB374" s="107"/>
    </row>
    <row r="375" spans="1:54" ht="15" x14ac:dyDescent="0.25">
      <c r="A375" s="143" t="s">
        <v>433</v>
      </c>
      <c r="B375" s="15">
        <v>2</v>
      </c>
      <c r="C375" s="8"/>
      <c r="D375" s="8"/>
      <c r="E375" s="107"/>
      <c r="F375" s="137"/>
      <c r="G375" s="107"/>
      <c r="H375" s="107"/>
      <c r="I375" s="107"/>
      <c r="J375" s="107"/>
      <c r="K375" s="107"/>
      <c r="L375" s="107"/>
      <c r="M375" s="107"/>
      <c r="N375" s="107"/>
      <c r="O375" s="107"/>
      <c r="P375" s="107"/>
      <c r="Q375" s="107"/>
      <c r="R375" s="107"/>
      <c r="S375" s="107"/>
      <c r="T375" s="107"/>
      <c r="U375" s="107"/>
      <c r="V375" s="107"/>
      <c r="W375" s="107"/>
      <c r="X375" s="107"/>
      <c r="Y375" s="107"/>
      <c r="Z375" s="107"/>
      <c r="AA375" s="107"/>
      <c r="AB375" s="107"/>
      <c r="AC375" s="107"/>
      <c r="AD375" s="107"/>
      <c r="AE375" s="107"/>
      <c r="AF375" s="107"/>
      <c r="AG375" s="107"/>
      <c r="AH375" s="107"/>
      <c r="AI375" s="107"/>
      <c r="AJ375" s="107"/>
      <c r="AK375" s="107"/>
      <c r="AL375" s="107"/>
      <c r="AM375" s="107"/>
      <c r="AN375" s="107"/>
      <c r="AO375" s="107"/>
      <c r="AP375" s="107"/>
      <c r="AQ375" s="107"/>
      <c r="AR375" s="107"/>
      <c r="AS375" s="107"/>
      <c r="AT375" s="107"/>
      <c r="AU375" s="107"/>
      <c r="AV375" s="107"/>
      <c r="AW375" s="107"/>
      <c r="AX375" s="107"/>
      <c r="AY375" s="107"/>
      <c r="AZ375" s="107"/>
      <c r="BA375" s="107"/>
      <c r="BB375" s="107"/>
    </row>
    <row r="376" spans="1:54" ht="15" x14ac:dyDescent="0.25">
      <c r="A376" s="143" t="s">
        <v>449</v>
      </c>
      <c r="B376" s="15">
        <v>1</v>
      </c>
      <c r="C376" s="8"/>
      <c r="D376" s="8"/>
      <c r="E376" s="107"/>
      <c r="F376" s="137"/>
      <c r="G376" s="107"/>
      <c r="H376" s="107"/>
      <c r="I376" s="107"/>
      <c r="J376" s="107"/>
      <c r="K376" s="107"/>
      <c r="L376" s="107"/>
      <c r="M376" s="107"/>
      <c r="N376" s="107"/>
      <c r="O376" s="107"/>
      <c r="P376" s="107"/>
      <c r="Q376" s="107"/>
      <c r="R376" s="107"/>
      <c r="S376" s="107"/>
      <c r="T376" s="107"/>
      <c r="U376" s="107"/>
      <c r="V376" s="107"/>
      <c r="W376" s="107"/>
      <c r="X376" s="107"/>
      <c r="Y376" s="107"/>
      <c r="Z376" s="107"/>
      <c r="AA376" s="107"/>
      <c r="AB376" s="107"/>
      <c r="AC376" s="107"/>
      <c r="AD376" s="107"/>
      <c r="AE376" s="107"/>
      <c r="AF376" s="107"/>
      <c r="AG376" s="107"/>
      <c r="AH376" s="107"/>
      <c r="AI376" s="107"/>
      <c r="AJ376" s="107"/>
      <c r="AK376" s="107"/>
      <c r="AL376" s="107"/>
      <c r="AM376" s="107"/>
      <c r="AN376" s="107"/>
      <c r="AO376" s="107"/>
      <c r="AP376" s="107"/>
      <c r="AQ376" s="107"/>
      <c r="AR376" s="107"/>
      <c r="AS376" s="107"/>
      <c r="AT376" s="107"/>
      <c r="AU376" s="107"/>
      <c r="AV376" s="107"/>
      <c r="AW376" s="107"/>
      <c r="AX376" s="107"/>
      <c r="AY376" s="107"/>
      <c r="AZ376" s="107"/>
      <c r="BA376" s="107"/>
      <c r="BB376" s="107"/>
    </row>
    <row r="377" spans="1:54" ht="15" x14ac:dyDescent="0.25">
      <c r="A377" s="143" t="s">
        <v>450</v>
      </c>
      <c r="B377" s="15">
        <v>1</v>
      </c>
      <c r="C377" s="8">
        <v>1</v>
      </c>
      <c r="D377" s="8">
        <v>1</v>
      </c>
      <c r="E377" s="107"/>
      <c r="F377" s="137"/>
      <c r="G377" s="107"/>
      <c r="H377" s="107"/>
      <c r="I377" s="107"/>
      <c r="J377" s="107"/>
      <c r="K377" s="107"/>
      <c r="L377" s="107"/>
      <c r="M377" s="107"/>
      <c r="N377" s="107"/>
      <c r="O377" s="107"/>
      <c r="P377" s="107"/>
      <c r="Q377" s="107"/>
      <c r="R377" s="107"/>
      <c r="S377" s="107"/>
      <c r="T377" s="107"/>
      <c r="U377" s="107"/>
      <c r="V377" s="107"/>
      <c r="W377" s="107"/>
      <c r="X377" s="107"/>
      <c r="Y377" s="107"/>
      <c r="Z377" s="107"/>
      <c r="AA377" s="107"/>
      <c r="AB377" s="107"/>
      <c r="AC377" s="107"/>
      <c r="AD377" s="107"/>
      <c r="AE377" s="107"/>
      <c r="AF377" s="107"/>
      <c r="AG377" s="107"/>
      <c r="AH377" s="107"/>
      <c r="AI377" s="107"/>
      <c r="AJ377" s="107"/>
      <c r="AK377" s="107"/>
      <c r="AL377" s="107"/>
      <c r="AM377" s="107"/>
      <c r="AN377" s="107"/>
      <c r="AO377" s="107"/>
      <c r="AP377" s="107"/>
      <c r="AQ377" s="107"/>
      <c r="AR377" s="107"/>
      <c r="AS377" s="107"/>
      <c r="AT377" s="107"/>
      <c r="AU377" s="107"/>
      <c r="AV377" s="107"/>
      <c r="AW377" s="107"/>
      <c r="AX377" s="107"/>
      <c r="AY377" s="107"/>
      <c r="AZ377" s="107"/>
      <c r="BA377" s="107"/>
      <c r="BB377" s="107"/>
    </row>
    <row r="378" spans="1:54" ht="15" x14ac:dyDescent="0.25">
      <c r="A378" s="143" t="s">
        <v>451</v>
      </c>
      <c r="B378" s="15">
        <v>2</v>
      </c>
      <c r="C378" s="8">
        <v>4</v>
      </c>
      <c r="D378" s="8"/>
      <c r="E378" s="107"/>
      <c r="F378" s="137"/>
      <c r="G378" s="107"/>
      <c r="H378" s="107"/>
      <c r="I378" s="107"/>
      <c r="J378" s="107"/>
      <c r="K378" s="107"/>
      <c r="L378" s="107"/>
      <c r="M378" s="107"/>
      <c r="N378" s="107"/>
      <c r="O378" s="107"/>
      <c r="P378" s="107"/>
      <c r="Q378" s="107"/>
      <c r="R378" s="107"/>
      <c r="S378" s="107"/>
      <c r="T378" s="107"/>
      <c r="U378" s="107"/>
      <c r="V378" s="107"/>
      <c r="W378" s="107"/>
      <c r="X378" s="107"/>
      <c r="Y378" s="107"/>
      <c r="Z378" s="107"/>
      <c r="AA378" s="107"/>
      <c r="AB378" s="107"/>
      <c r="AC378" s="107"/>
      <c r="AD378" s="107"/>
      <c r="AE378" s="107"/>
      <c r="AF378" s="107"/>
      <c r="AG378" s="107"/>
      <c r="AH378" s="107"/>
      <c r="AI378" s="107"/>
      <c r="AJ378" s="107"/>
      <c r="AK378" s="107"/>
      <c r="AL378" s="107"/>
      <c r="AM378" s="107"/>
      <c r="AN378" s="107"/>
      <c r="AO378" s="107"/>
      <c r="AP378" s="107"/>
      <c r="AQ378" s="107"/>
      <c r="AR378" s="107"/>
      <c r="AS378" s="107"/>
      <c r="AT378" s="107"/>
      <c r="AU378" s="107"/>
      <c r="AV378" s="107"/>
      <c r="AW378" s="107"/>
      <c r="AX378" s="107"/>
      <c r="AY378" s="107"/>
      <c r="AZ378" s="107"/>
      <c r="BA378" s="107"/>
      <c r="BB378" s="107"/>
    </row>
    <row r="379" spans="1:54" ht="15" x14ac:dyDescent="0.25">
      <c r="A379" s="143" t="s">
        <v>453</v>
      </c>
      <c r="B379" s="15">
        <v>4</v>
      </c>
      <c r="C379" s="8">
        <v>3</v>
      </c>
      <c r="D379" s="8">
        <v>2</v>
      </c>
      <c r="E379" s="107"/>
      <c r="F379" s="137"/>
      <c r="G379" s="107"/>
      <c r="H379" s="107"/>
      <c r="I379" s="107"/>
      <c r="J379" s="107"/>
      <c r="K379" s="107"/>
      <c r="L379" s="107"/>
      <c r="M379" s="107"/>
      <c r="N379" s="107"/>
      <c r="O379" s="107"/>
      <c r="P379" s="107"/>
      <c r="Q379" s="107"/>
      <c r="R379" s="107"/>
      <c r="S379" s="107"/>
      <c r="T379" s="107"/>
      <c r="U379" s="107"/>
      <c r="V379" s="107"/>
      <c r="W379" s="107"/>
      <c r="X379" s="107"/>
      <c r="Y379" s="107"/>
      <c r="Z379" s="107"/>
      <c r="AA379" s="107"/>
      <c r="AB379" s="107"/>
      <c r="AC379" s="107"/>
      <c r="AD379" s="107"/>
      <c r="AE379" s="107"/>
      <c r="AF379" s="107"/>
      <c r="AG379" s="107"/>
      <c r="AH379" s="107"/>
      <c r="AI379" s="107"/>
      <c r="AJ379" s="107"/>
      <c r="AK379" s="107"/>
      <c r="AL379" s="107"/>
      <c r="AM379" s="107"/>
      <c r="AN379" s="107"/>
      <c r="AO379" s="107"/>
      <c r="AP379" s="107"/>
      <c r="AQ379" s="107"/>
      <c r="AR379" s="107"/>
      <c r="AS379" s="107"/>
      <c r="AT379" s="107"/>
      <c r="AU379" s="107"/>
      <c r="AV379" s="107"/>
      <c r="AW379" s="107"/>
      <c r="AX379" s="107"/>
      <c r="AY379" s="107"/>
      <c r="AZ379" s="107"/>
      <c r="BA379" s="107"/>
      <c r="BB379" s="107"/>
    </row>
    <row r="380" spans="1:54" ht="15" x14ac:dyDescent="0.25">
      <c r="A380" s="143" t="s">
        <v>429</v>
      </c>
      <c r="B380" s="15"/>
      <c r="C380" s="8"/>
      <c r="D380" s="8">
        <v>1</v>
      </c>
      <c r="E380" s="107"/>
      <c r="F380" s="137"/>
      <c r="G380" s="107"/>
      <c r="H380" s="107"/>
      <c r="I380" s="107"/>
      <c r="J380" s="107"/>
      <c r="K380" s="107"/>
      <c r="L380" s="107"/>
      <c r="M380" s="107"/>
      <c r="N380" s="107"/>
      <c r="O380" s="107"/>
      <c r="P380" s="107"/>
      <c r="Q380" s="107"/>
      <c r="R380" s="107"/>
      <c r="S380" s="107"/>
      <c r="T380" s="107"/>
      <c r="U380" s="107"/>
      <c r="V380" s="107"/>
      <c r="W380" s="107"/>
      <c r="X380" s="107"/>
      <c r="Y380" s="107"/>
      <c r="Z380" s="107"/>
      <c r="AA380" s="107"/>
      <c r="AB380" s="107"/>
      <c r="AC380" s="107"/>
      <c r="AD380" s="107"/>
      <c r="AE380" s="107"/>
      <c r="AF380" s="107"/>
      <c r="AG380" s="107"/>
      <c r="AH380" s="107"/>
      <c r="AI380" s="107"/>
      <c r="AJ380" s="107"/>
      <c r="AK380" s="107"/>
      <c r="AL380" s="107"/>
      <c r="AM380" s="107"/>
      <c r="AN380" s="107"/>
      <c r="AO380" s="107"/>
      <c r="AP380" s="107"/>
      <c r="AQ380" s="107"/>
      <c r="AR380" s="107"/>
      <c r="AS380" s="107"/>
      <c r="AT380" s="107"/>
      <c r="AU380" s="107"/>
      <c r="AV380" s="107"/>
      <c r="AW380" s="107"/>
      <c r="AX380" s="107"/>
      <c r="AY380" s="107"/>
      <c r="AZ380" s="107"/>
      <c r="BA380" s="107"/>
      <c r="BB380" s="107"/>
    </row>
    <row r="381" spans="1:54" ht="15" x14ac:dyDescent="0.25">
      <c r="A381" s="143"/>
      <c r="B381" s="15"/>
      <c r="C381" s="8"/>
      <c r="D381" s="8"/>
      <c r="E381" s="107"/>
      <c r="F381" s="137"/>
      <c r="G381" s="107"/>
      <c r="H381" s="107"/>
      <c r="I381" s="107"/>
      <c r="J381" s="107"/>
      <c r="K381" s="107"/>
      <c r="L381" s="107"/>
      <c r="M381" s="107"/>
      <c r="N381" s="107"/>
      <c r="O381" s="107"/>
      <c r="P381" s="107"/>
      <c r="Q381" s="107"/>
      <c r="R381" s="107"/>
      <c r="S381" s="107"/>
      <c r="T381" s="107"/>
      <c r="U381" s="107"/>
      <c r="V381" s="107"/>
      <c r="W381" s="107"/>
      <c r="X381" s="107"/>
      <c r="Y381" s="107"/>
      <c r="Z381" s="107"/>
      <c r="AA381" s="107"/>
      <c r="AB381" s="107"/>
      <c r="AC381" s="107"/>
      <c r="AD381" s="107"/>
      <c r="AE381" s="107"/>
      <c r="AF381" s="107"/>
      <c r="AG381" s="107"/>
      <c r="AH381" s="107"/>
      <c r="AI381" s="107"/>
      <c r="AJ381" s="107"/>
      <c r="AK381" s="107"/>
      <c r="AL381" s="107"/>
      <c r="AM381" s="107"/>
      <c r="AN381" s="107"/>
      <c r="AO381" s="107"/>
      <c r="AP381" s="107"/>
      <c r="AQ381" s="107"/>
      <c r="AR381" s="107"/>
      <c r="AS381" s="107"/>
      <c r="AT381" s="107"/>
      <c r="AU381" s="107"/>
      <c r="AV381" s="107"/>
      <c r="AW381" s="107"/>
      <c r="AX381" s="107"/>
      <c r="AY381" s="107"/>
      <c r="AZ381" s="107"/>
      <c r="BA381" s="107"/>
      <c r="BB381" s="107"/>
    </row>
    <row r="382" spans="1:54" ht="15" x14ac:dyDescent="0.25">
      <c r="A382" s="143"/>
      <c r="B382" s="15"/>
      <c r="C382" s="8"/>
      <c r="D382" s="8"/>
      <c r="E382" s="107"/>
      <c r="F382" s="137"/>
      <c r="G382" s="107"/>
      <c r="H382" s="107"/>
      <c r="I382" s="107"/>
      <c r="J382" s="107"/>
      <c r="K382" s="107"/>
      <c r="L382" s="107"/>
      <c r="M382" s="107"/>
      <c r="N382" s="107"/>
      <c r="O382" s="107"/>
      <c r="P382" s="107"/>
      <c r="Q382" s="107"/>
      <c r="R382" s="107"/>
      <c r="S382" s="107"/>
      <c r="T382" s="107"/>
      <c r="U382" s="107"/>
      <c r="V382" s="107"/>
      <c r="W382" s="107"/>
      <c r="X382" s="107"/>
      <c r="Y382" s="107"/>
      <c r="Z382" s="107"/>
      <c r="AA382" s="107"/>
      <c r="AB382" s="107"/>
      <c r="AC382" s="107"/>
      <c r="AD382" s="107"/>
      <c r="AE382" s="107"/>
      <c r="AF382" s="107"/>
      <c r="AG382" s="107"/>
      <c r="AH382" s="107"/>
      <c r="AI382" s="107"/>
      <c r="AJ382" s="107"/>
      <c r="AK382" s="107"/>
      <c r="AL382" s="107"/>
      <c r="AM382" s="107"/>
      <c r="AN382" s="107"/>
      <c r="AO382" s="107"/>
      <c r="AP382" s="107"/>
      <c r="AQ382" s="107"/>
      <c r="AR382" s="107"/>
      <c r="AS382" s="107"/>
      <c r="AT382" s="107"/>
      <c r="AU382" s="107"/>
      <c r="AV382" s="107"/>
      <c r="AW382" s="107"/>
      <c r="AX382" s="107"/>
      <c r="AY382" s="107"/>
      <c r="AZ382" s="107"/>
      <c r="BA382" s="107"/>
      <c r="BB382" s="107"/>
    </row>
    <row r="383" spans="1:54" ht="17.399999999999999" x14ac:dyDescent="0.3">
      <c r="A383" s="145" t="s">
        <v>807</v>
      </c>
      <c r="B383" s="74"/>
      <c r="C383" s="8"/>
      <c r="D383" s="8"/>
      <c r="E383" s="107"/>
      <c r="F383" s="137"/>
      <c r="G383" s="107"/>
      <c r="H383" s="107"/>
      <c r="I383" s="107"/>
      <c r="J383" s="107"/>
      <c r="K383" s="107"/>
      <c r="L383" s="107"/>
      <c r="M383" s="107"/>
      <c r="N383" s="107"/>
      <c r="O383" s="107"/>
      <c r="P383" s="107"/>
      <c r="Q383" s="107"/>
      <c r="R383" s="107"/>
      <c r="S383" s="107"/>
      <c r="T383" s="107"/>
      <c r="U383" s="107"/>
      <c r="V383" s="107"/>
      <c r="W383" s="107"/>
      <c r="X383" s="107"/>
      <c r="Y383" s="107"/>
      <c r="Z383" s="107"/>
      <c r="AA383" s="107"/>
      <c r="AB383" s="107"/>
      <c r="AC383" s="107"/>
      <c r="AD383" s="107"/>
      <c r="AE383" s="107"/>
      <c r="AF383" s="107"/>
      <c r="AG383" s="107"/>
      <c r="AH383" s="107"/>
      <c r="AI383" s="107"/>
      <c r="AJ383" s="107"/>
      <c r="AK383" s="107"/>
      <c r="AL383" s="107"/>
      <c r="AM383" s="107"/>
      <c r="AN383" s="107"/>
      <c r="AO383" s="107"/>
      <c r="AP383" s="107"/>
      <c r="AQ383" s="107"/>
      <c r="AR383" s="107"/>
      <c r="AS383" s="107"/>
      <c r="AT383" s="107"/>
      <c r="AU383" s="107"/>
      <c r="AV383" s="107"/>
      <c r="AW383" s="107"/>
      <c r="AX383" s="107"/>
      <c r="AY383" s="107"/>
      <c r="AZ383" s="107"/>
      <c r="BA383" s="107"/>
      <c r="BB383" s="107"/>
    </row>
    <row r="384" spans="1:54" ht="15" x14ac:dyDescent="0.25">
      <c r="A384" s="143" t="s">
        <v>573</v>
      </c>
      <c r="B384" s="15">
        <v>1</v>
      </c>
      <c r="C384" s="8"/>
      <c r="D384" s="8"/>
      <c r="E384" s="107"/>
      <c r="F384" s="137"/>
      <c r="G384" s="107"/>
      <c r="H384" s="107"/>
      <c r="I384" s="107"/>
      <c r="J384" s="107"/>
      <c r="K384" s="107"/>
      <c r="L384" s="107"/>
      <c r="M384" s="107"/>
      <c r="N384" s="107"/>
      <c r="O384" s="107"/>
      <c r="P384" s="107"/>
      <c r="Q384" s="107"/>
      <c r="R384" s="107"/>
      <c r="S384" s="107"/>
      <c r="T384" s="107"/>
      <c r="U384" s="107"/>
      <c r="V384" s="107"/>
      <c r="W384" s="107"/>
      <c r="X384" s="107"/>
      <c r="Y384" s="107"/>
      <c r="Z384" s="107"/>
      <c r="AA384" s="107"/>
      <c r="AB384" s="107"/>
      <c r="AC384" s="107"/>
      <c r="AD384" s="107"/>
      <c r="AE384" s="107"/>
      <c r="AF384" s="107"/>
      <c r="AG384" s="107"/>
      <c r="AH384" s="107"/>
      <c r="AI384" s="107"/>
      <c r="AJ384" s="107"/>
      <c r="AK384" s="107"/>
      <c r="AL384" s="107"/>
      <c r="AM384" s="107"/>
      <c r="AN384" s="107"/>
      <c r="AO384" s="107"/>
      <c r="AP384" s="107"/>
      <c r="AQ384" s="107"/>
      <c r="AR384" s="107"/>
      <c r="AS384" s="107"/>
      <c r="AT384" s="107"/>
      <c r="AU384" s="107"/>
      <c r="AV384" s="107"/>
      <c r="AW384" s="107"/>
      <c r="AX384" s="107"/>
      <c r="AY384" s="107"/>
      <c r="AZ384" s="107"/>
      <c r="BA384" s="107"/>
      <c r="BB384" s="107"/>
    </row>
    <row r="385" spans="1:54" ht="15" x14ac:dyDescent="0.25">
      <c r="A385" s="143" t="s">
        <v>447</v>
      </c>
      <c r="B385" s="15">
        <v>3</v>
      </c>
      <c r="C385" s="8">
        <v>2</v>
      </c>
      <c r="D385" s="8"/>
      <c r="E385" s="106"/>
      <c r="F385" s="13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c r="AZ385" s="106"/>
      <c r="BA385" s="106"/>
      <c r="BB385" s="106"/>
    </row>
    <row r="386" spans="1:54" ht="15" x14ac:dyDescent="0.25">
      <c r="A386" s="143" t="s">
        <v>449</v>
      </c>
      <c r="B386" s="15">
        <v>11</v>
      </c>
      <c r="C386" s="8">
        <v>12</v>
      </c>
      <c r="D386" s="8">
        <v>5</v>
      </c>
      <c r="E386" s="107"/>
      <c r="F386" s="137"/>
      <c r="G386" s="107"/>
      <c r="H386" s="107"/>
      <c r="I386" s="107"/>
      <c r="J386" s="107"/>
      <c r="K386" s="107"/>
      <c r="L386" s="107"/>
      <c r="M386" s="107"/>
      <c r="N386" s="107"/>
      <c r="O386" s="107"/>
      <c r="P386" s="107"/>
      <c r="Q386" s="107"/>
      <c r="R386" s="107"/>
      <c r="S386" s="107"/>
      <c r="T386" s="107"/>
      <c r="U386" s="107"/>
      <c r="V386" s="107"/>
      <c r="W386" s="107"/>
      <c r="X386" s="107"/>
      <c r="Y386" s="107"/>
      <c r="Z386" s="107"/>
      <c r="AA386" s="107"/>
      <c r="AB386" s="107"/>
      <c r="AC386" s="107"/>
      <c r="AD386" s="107"/>
      <c r="AE386" s="107"/>
      <c r="AF386" s="107"/>
      <c r="AG386" s="107"/>
      <c r="AH386" s="107"/>
      <c r="AI386" s="107"/>
      <c r="AJ386" s="107"/>
      <c r="AK386" s="107"/>
      <c r="AL386" s="107"/>
      <c r="AM386" s="107"/>
      <c r="AN386" s="107"/>
      <c r="AO386" s="107"/>
      <c r="AP386" s="107"/>
      <c r="AQ386" s="107"/>
      <c r="AR386" s="107"/>
      <c r="AS386" s="107"/>
      <c r="AT386" s="107"/>
      <c r="AU386" s="107"/>
      <c r="AV386" s="107"/>
      <c r="AW386" s="107"/>
      <c r="AX386" s="107"/>
      <c r="AY386" s="107"/>
      <c r="AZ386" s="107"/>
      <c r="BA386" s="107"/>
      <c r="BB386" s="107"/>
    </row>
    <row r="387" spans="1:54" ht="15" x14ac:dyDescent="0.25">
      <c r="A387" s="143" t="s">
        <v>451</v>
      </c>
      <c r="B387" s="15">
        <v>5</v>
      </c>
      <c r="C387" s="8">
        <v>4</v>
      </c>
      <c r="D387" s="8">
        <v>2</v>
      </c>
      <c r="E387" s="107"/>
      <c r="F387" s="137"/>
      <c r="G387" s="107"/>
      <c r="H387" s="107"/>
      <c r="I387" s="107"/>
      <c r="J387" s="107"/>
      <c r="K387" s="107"/>
      <c r="L387" s="107"/>
      <c r="M387" s="107"/>
      <c r="N387" s="107"/>
      <c r="O387" s="107"/>
      <c r="P387" s="107"/>
      <c r="Q387" s="107"/>
      <c r="R387" s="107"/>
      <c r="S387" s="107"/>
      <c r="T387" s="107"/>
      <c r="U387" s="107"/>
      <c r="V387" s="107"/>
      <c r="W387" s="107"/>
      <c r="X387" s="107"/>
      <c r="Y387" s="107"/>
      <c r="Z387" s="107"/>
      <c r="AA387" s="107"/>
      <c r="AB387" s="107"/>
      <c r="AC387" s="107"/>
      <c r="AD387" s="107"/>
      <c r="AE387" s="107"/>
      <c r="AF387" s="107"/>
      <c r="AG387" s="107"/>
      <c r="AH387" s="107"/>
      <c r="AI387" s="107"/>
      <c r="AJ387" s="107"/>
      <c r="AK387" s="107"/>
      <c r="AL387" s="107"/>
      <c r="AM387" s="107"/>
      <c r="AN387" s="107"/>
      <c r="AO387" s="107"/>
      <c r="AP387" s="107"/>
      <c r="AQ387" s="107"/>
      <c r="AR387" s="107"/>
      <c r="AS387" s="107"/>
      <c r="AT387" s="107"/>
      <c r="AU387" s="107"/>
      <c r="AV387" s="107"/>
      <c r="AW387" s="107"/>
      <c r="AX387" s="107"/>
      <c r="AY387" s="107"/>
      <c r="AZ387" s="107"/>
      <c r="BA387" s="107"/>
      <c r="BB387" s="107"/>
    </row>
    <row r="388" spans="1:54" ht="15" x14ac:dyDescent="0.25">
      <c r="A388" s="143" t="s">
        <v>453</v>
      </c>
      <c r="B388" s="15"/>
      <c r="C388" s="8">
        <v>1</v>
      </c>
      <c r="D388" s="8"/>
      <c r="E388" s="106"/>
      <c r="F388" s="13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c r="AZ388" s="106"/>
      <c r="BA388" s="106"/>
      <c r="BB388" s="106"/>
    </row>
    <row r="389" spans="1:54" ht="15" x14ac:dyDescent="0.25">
      <c r="A389" s="143" t="s">
        <v>455</v>
      </c>
      <c r="B389" s="15">
        <v>2</v>
      </c>
      <c r="C389" s="8">
        <v>4</v>
      </c>
      <c r="D389" s="8">
        <v>1</v>
      </c>
      <c r="E389" s="106"/>
      <c r="F389" s="13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c r="AZ389" s="106"/>
      <c r="BA389" s="106"/>
      <c r="BB389" s="106"/>
    </row>
    <row r="390" spans="1:54" ht="15" x14ac:dyDescent="0.25">
      <c r="A390" s="143" t="s">
        <v>412</v>
      </c>
      <c r="B390" s="15">
        <v>5</v>
      </c>
      <c r="C390" s="8">
        <v>3</v>
      </c>
      <c r="D390" s="8">
        <v>1</v>
      </c>
      <c r="E390" s="107"/>
      <c r="F390" s="137"/>
      <c r="G390" s="107"/>
      <c r="H390" s="107"/>
      <c r="I390" s="107"/>
      <c r="J390" s="107"/>
      <c r="K390" s="107"/>
      <c r="L390" s="107"/>
      <c r="M390" s="107"/>
      <c r="N390" s="107"/>
      <c r="O390" s="107"/>
      <c r="P390" s="107"/>
      <c r="Q390" s="107"/>
      <c r="R390" s="107"/>
      <c r="S390" s="107"/>
      <c r="T390" s="107"/>
      <c r="U390" s="107"/>
      <c r="V390" s="107"/>
      <c r="W390" s="107"/>
      <c r="X390" s="107"/>
      <c r="Y390" s="107"/>
      <c r="Z390" s="107"/>
      <c r="AA390" s="107"/>
      <c r="AB390" s="107"/>
      <c r="AC390" s="107"/>
      <c r="AD390" s="107"/>
      <c r="AE390" s="107"/>
      <c r="AF390" s="107"/>
      <c r="AG390" s="107"/>
      <c r="AH390" s="107"/>
      <c r="AI390" s="107"/>
      <c r="AJ390" s="107"/>
      <c r="AK390" s="107"/>
      <c r="AL390" s="107"/>
      <c r="AM390" s="107"/>
      <c r="AN390" s="107"/>
      <c r="AO390" s="107"/>
      <c r="AP390" s="107"/>
      <c r="AQ390" s="107"/>
      <c r="AR390" s="107"/>
      <c r="AS390" s="107"/>
      <c r="AT390" s="107"/>
      <c r="AU390" s="107"/>
      <c r="AV390" s="107"/>
      <c r="AW390" s="107"/>
      <c r="AX390" s="107"/>
      <c r="AY390" s="107"/>
      <c r="AZ390" s="107"/>
      <c r="BA390" s="107"/>
      <c r="BB390" s="107"/>
    </row>
    <row r="391" spans="1:54" ht="15" x14ac:dyDescent="0.25">
      <c r="A391" s="143" t="s">
        <v>417</v>
      </c>
      <c r="B391" s="14">
        <v>5</v>
      </c>
      <c r="C391" s="8">
        <v>5</v>
      </c>
      <c r="D391" s="8">
        <v>1</v>
      </c>
      <c r="E391" s="107"/>
      <c r="F391" s="137"/>
      <c r="G391" s="107"/>
      <c r="H391" s="107"/>
      <c r="I391" s="107"/>
      <c r="J391" s="107"/>
      <c r="K391" s="107"/>
      <c r="L391" s="107"/>
      <c r="M391" s="107"/>
      <c r="N391" s="107"/>
      <c r="O391" s="107"/>
      <c r="P391" s="107"/>
      <c r="Q391" s="107"/>
      <c r="R391" s="107"/>
      <c r="S391" s="107"/>
      <c r="T391" s="107"/>
      <c r="U391" s="107"/>
      <c r="V391" s="107"/>
      <c r="W391" s="107"/>
      <c r="X391" s="107"/>
      <c r="Y391" s="107"/>
      <c r="Z391" s="107"/>
      <c r="AA391" s="107"/>
      <c r="AB391" s="107"/>
      <c r="AC391" s="107"/>
      <c r="AD391" s="107"/>
      <c r="AE391" s="107"/>
      <c r="AF391" s="107"/>
      <c r="AG391" s="107"/>
      <c r="AH391" s="107"/>
      <c r="AI391" s="107"/>
      <c r="AJ391" s="107"/>
      <c r="AK391" s="107"/>
      <c r="AL391" s="107"/>
      <c r="AM391" s="107"/>
      <c r="AN391" s="107"/>
      <c r="AO391" s="107"/>
      <c r="AP391" s="107"/>
      <c r="AQ391" s="107"/>
      <c r="AR391" s="107"/>
      <c r="AS391" s="107"/>
      <c r="AT391" s="107"/>
      <c r="AU391" s="107"/>
      <c r="AV391" s="107"/>
      <c r="AW391" s="107"/>
      <c r="AX391" s="107"/>
      <c r="AY391" s="107"/>
      <c r="AZ391" s="107"/>
      <c r="BA391" s="107"/>
      <c r="BB391" s="107"/>
    </row>
    <row r="392" spans="1:54" ht="15" x14ac:dyDescent="0.25">
      <c r="A392" s="153" t="s">
        <v>428</v>
      </c>
      <c r="B392" s="14">
        <v>3</v>
      </c>
      <c r="C392" s="8"/>
      <c r="D392" s="8"/>
      <c r="E392" s="107"/>
      <c r="F392" s="137"/>
      <c r="G392" s="107"/>
      <c r="H392" s="107"/>
      <c r="I392" s="107"/>
      <c r="J392" s="107"/>
      <c r="K392" s="107"/>
      <c r="L392" s="107"/>
      <c r="M392" s="107"/>
      <c r="N392" s="107"/>
      <c r="O392" s="107"/>
      <c r="P392" s="107"/>
      <c r="Q392" s="107"/>
      <c r="R392" s="107"/>
      <c r="S392" s="107"/>
      <c r="T392" s="107"/>
      <c r="U392" s="107"/>
      <c r="V392" s="107"/>
      <c r="W392" s="107"/>
      <c r="X392" s="107"/>
      <c r="Y392" s="107"/>
      <c r="Z392" s="107"/>
      <c r="AA392" s="107"/>
      <c r="AB392" s="107"/>
      <c r="AC392" s="107"/>
      <c r="AD392" s="107"/>
      <c r="AE392" s="107"/>
      <c r="AF392" s="107"/>
      <c r="AG392" s="107"/>
      <c r="AH392" s="107"/>
      <c r="AI392" s="107"/>
      <c r="AJ392" s="107"/>
      <c r="AK392" s="107"/>
      <c r="AL392" s="107"/>
      <c r="AM392" s="107"/>
      <c r="AN392" s="107"/>
      <c r="AO392" s="107"/>
      <c r="AP392" s="107"/>
      <c r="AQ392" s="107"/>
      <c r="AR392" s="107"/>
      <c r="AS392" s="107"/>
      <c r="AT392" s="107"/>
      <c r="AU392" s="107"/>
      <c r="AV392" s="107"/>
      <c r="AW392" s="107"/>
      <c r="AX392" s="107"/>
      <c r="AY392" s="107"/>
      <c r="AZ392" s="107"/>
      <c r="BA392" s="107"/>
      <c r="BB392" s="107"/>
    </row>
    <row r="393" spans="1:54" ht="15" x14ac:dyDescent="0.25">
      <c r="A393" s="143" t="s">
        <v>433</v>
      </c>
      <c r="B393" s="14">
        <v>4</v>
      </c>
      <c r="C393" s="8"/>
      <c r="D393" s="8"/>
      <c r="E393" s="107"/>
      <c r="F393" s="137"/>
      <c r="G393" s="107"/>
      <c r="H393" s="107"/>
      <c r="I393" s="107"/>
      <c r="J393" s="107"/>
      <c r="K393" s="107"/>
      <c r="L393" s="107"/>
      <c r="M393" s="107"/>
      <c r="N393" s="107"/>
      <c r="O393" s="107"/>
      <c r="P393" s="107"/>
      <c r="Q393" s="107"/>
      <c r="R393" s="107"/>
      <c r="S393" s="107"/>
      <c r="T393" s="107"/>
      <c r="U393" s="107"/>
      <c r="V393" s="107"/>
      <c r="W393" s="107"/>
      <c r="X393" s="107"/>
      <c r="Y393" s="107"/>
      <c r="Z393" s="107"/>
      <c r="AA393" s="107"/>
      <c r="AB393" s="107"/>
      <c r="AC393" s="107"/>
      <c r="AD393" s="107"/>
      <c r="AE393" s="107"/>
      <c r="AF393" s="107"/>
      <c r="AG393" s="107"/>
      <c r="AH393" s="107"/>
      <c r="AI393" s="107"/>
      <c r="AJ393" s="107"/>
      <c r="AK393" s="107"/>
      <c r="AL393" s="107"/>
      <c r="AM393" s="107"/>
      <c r="AN393" s="107"/>
      <c r="AO393" s="107"/>
      <c r="AP393" s="107"/>
      <c r="AQ393" s="107"/>
      <c r="AR393" s="107"/>
      <c r="AS393" s="107"/>
      <c r="AT393" s="107"/>
      <c r="AU393" s="107"/>
      <c r="AV393" s="107"/>
      <c r="AW393" s="107"/>
      <c r="AX393" s="107"/>
      <c r="AY393" s="107"/>
      <c r="AZ393" s="107"/>
      <c r="BA393" s="107"/>
      <c r="BB393" s="107"/>
    </row>
    <row r="394" spans="1:54" ht="15" x14ac:dyDescent="0.25">
      <c r="A394" s="143" t="s">
        <v>438</v>
      </c>
      <c r="B394" s="14">
        <v>1</v>
      </c>
      <c r="C394" s="8"/>
      <c r="D394" s="8"/>
      <c r="E394" s="106"/>
      <c r="F394" s="13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c r="AZ394" s="106"/>
      <c r="BA394" s="106"/>
      <c r="BB394" s="106"/>
    </row>
    <row r="395" spans="1:54" ht="15" x14ac:dyDescent="0.25">
      <c r="A395" s="143" t="s">
        <v>429</v>
      </c>
      <c r="B395" s="14"/>
      <c r="C395" s="8"/>
      <c r="D395" s="8">
        <v>1</v>
      </c>
      <c r="E395" s="107"/>
      <c r="F395" s="137"/>
      <c r="G395" s="107"/>
      <c r="H395" s="107"/>
      <c r="I395" s="107"/>
      <c r="J395" s="107"/>
      <c r="K395" s="107"/>
      <c r="L395" s="107"/>
      <c r="M395" s="107"/>
      <c r="N395" s="107"/>
      <c r="O395" s="107"/>
      <c r="P395" s="107"/>
      <c r="Q395" s="107"/>
      <c r="R395" s="107"/>
      <c r="S395" s="107"/>
      <c r="T395" s="107"/>
      <c r="U395" s="107"/>
      <c r="V395" s="107"/>
      <c r="W395" s="107"/>
      <c r="X395" s="107"/>
      <c r="Y395" s="107"/>
      <c r="Z395" s="107"/>
      <c r="AA395" s="107"/>
      <c r="AB395" s="107"/>
      <c r="AC395" s="107"/>
      <c r="AD395" s="107"/>
      <c r="AE395" s="107"/>
      <c r="AF395" s="107"/>
      <c r="AG395" s="107"/>
      <c r="AH395" s="107"/>
      <c r="AI395" s="107"/>
      <c r="AJ395" s="107"/>
      <c r="AK395" s="107"/>
      <c r="AL395" s="107"/>
      <c r="AM395" s="107"/>
      <c r="AN395" s="107"/>
      <c r="AO395" s="107"/>
      <c r="AP395" s="107"/>
      <c r="AQ395" s="107"/>
      <c r="AR395" s="107"/>
      <c r="AS395" s="107"/>
      <c r="AT395" s="107"/>
      <c r="AU395" s="107"/>
      <c r="AV395" s="107"/>
      <c r="AW395" s="107"/>
      <c r="AX395" s="107"/>
      <c r="AY395" s="107"/>
      <c r="AZ395" s="107"/>
      <c r="BA395" s="107"/>
      <c r="BB395" s="107"/>
    </row>
    <row r="396" spans="1:54" ht="17.399999999999999" x14ac:dyDescent="0.3">
      <c r="A396" s="145" t="s">
        <v>808</v>
      </c>
      <c r="B396" s="75"/>
      <c r="C396" s="8"/>
      <c r="D396" s="8"/>
      <c r="E396" s="107"/>
      <c r="F396" s="137"/>
      <c r="G396" s="107"/>
      <c r="H396" s="107"/>
      <c r="I396" s="107"/>
      <c r="J396" s="107"/>
      <c r="K396" s="107"/>
      <c r="L396" s="107"/>
      <c r="M396" s="107"/>
      <c r="N396" s="107"/>
      <c r="O396" s="107"/>
      <c r="P396" s="107"/>
      <c r="Q396" s="107"/>
      <c r="R396" s="107"/>
      <c r="S396" s="107"/>
      <c r="T396" s="107"/>
      <c r="U396" s="107"/>
      <c r="V396" s="107"/>
      <c r="W396" s="107"/>
      <c r="X396" s="107"/>
      <c r="Y396" s="107"/>
      <c r="Z396" s="107"/>
      <c r="AA396" s="107"/>
      <c r="AB396" s="107"/>
      <c r="AC396" s="107"/>
      <c r="AD396" s="107"/>
      <c r="AE396" s="107"/>
      <c r="AF396" s="107"/>
      <c r="AG396" s="107"/>
      <c r="AH396" s="107"/>
      <c r="AI396" s="107"/>
      <c r="AJ396" s="107"/>
      <c r="AK396" s="107"/>
      <c r="AL396" s="107"/>
      <c r="AM396" s="107"/>
      <c r="AN396" s="107"/>
      <c r="AO396" s="107"/>
      <c r="AP396" s="107"/>
      <c r="AQ396" s="107"/>
      <c r="AR396" s="107"/>
      <c r="AS396" s="107"/>
      <c r="AT396" s="107"/>
      <c r="AU396" s="107"/>
      <c r="AV396" s="107"/>
      <c r="AW396" s="107"/>
      <c r="AX396" s="107"/>
      <c r="AY396" s="107"/>
      <c r="AZ396" s="107"/>
      <c r="BA396" s="107"/>
      <c r="BB396" s="107"/>
    </row>
    <row r="397" spans="1:54" ht="15" x14ac:dyDescent="0.25">
      <c r="A397" s="153" t="s">
        <v>536</v>
      </c>
      <c r="B397" s="14">
        <v>10</v>
      </c>
      <c r="C397" s="8"/>
      <c r="D397" s="8"/>
      <c r="E397" s="106"/>
      <c r="F397" s="13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c r="AZ397" s="106"/>
      <c r="BA397" s="106"/>
      <c r="BB397" s="106"/>
    </row>
    <row r="398" spans="1:54" ht="15" x14ac:dyDescent="0.25">
      <c r="A398" s="153" t="s">
        <v>455</v>
      </c>
      <c r="B398" s="14">
        <v>4</v>
      </c>
      <c r="C398" s="8">
        <v>7</v>
      </c>
      <c r="D398" s="8">
        <v>2</v>
      </c>
      <c r="E398" s="106"/>
      <c r="F398" s="13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c r="AZ398" s="106"/>
      <c r="BA398" s="106"/>
      <c r="BB398" s="106"/>
    </row>
    <row r="399" spans="1:54" ht="15" x14ac:dyDescent="0.25">
      <c r="A399" s="153" t="s">
        <v>413</v>
      </c>
      <c r="B399" s="14">
        <v>3</v>
      </c>
      <c r="C399" s="8">
        <v>4</v>
      </c>
      <c r="D399" s="8"/>
      <c r="E399" s="106"/>
      <c r="F399" s="13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c r="AZ399" s="106"/>
      <c r="BA399" s="106"/>
      <c r="BB399" s="106"/>
    </row>
    <row r="400" spans="1:54" ht="15" x14ac:dyDescent="0.25">
      <c r="A400" s="153" t="s">
        <v>509</v>
      </c>
      <c r="B400" s="14">
        <v>1</v>
      </c>
      <c r="C400" s="8"/>
      <c r="D400" s="8"/>
      <c r="E400" s="106"/>
      <c r="F400" s="13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c r="AZ400" s="106"/>
      <c r="BA400" s="106"/>
      <c r="BB400" s="106"/>
    </row>
    <row r="401" spans="1:54" ht="15" x14ac:dyDescent="0.25">
      <c r="A401" s="153" t="s">
        <v>511</v>
      </c>
      <c r="B401" s="14">
        <v>1</v>
      </c>
      <c r="C401" s="8"/>
      <c r="D401" s="8"/>
      <c r="E401" s="106"/>
      <c r="F401" s="13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c r="AZ401" s="106"/>
      <c r="BA401" s="106"/>
      <c r="BB401" s="106"/>
    </row>
    <row r="402" spans="1:54" ht="15" x14ac:dyDescent="0.25">
      <c r="A402" s="153" t="s">
        <v>447</v>
      </c>
      <c r="B402" s="14">
        <v>4</v>
      </c>
      <c r="C402" s="8">
        <v>1</v>
      </c>
      <c r="D402" s="8"/>
      <c r="E402" s="106"/>
      <c r="F402" s="13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c r="AZ402" s="106"/>
      <c r="BA402" s="106"/>
      <c r="BB402" s="106"/>
    </row>
    <row r="403" spans="1:54" ht="15" x14ac:dyDescent="0.25">
      <c r="A403" s="153" t="s">
        <v>412</v>
      </c>
      <c r="B403" s="14">
        <v>1</v>
      </c>
      <c r="C403" s="8"/>
      <c r="D403" s="8"/>
      <c r="E403" s="106"/>
      <c r="F403" s="13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c r="AZ403" s="106"/>
      <c r="BA403" s="106"/>
      <c r="BB403" s="106"/>
    </row>
    <row r="404" spans="1:54" ht="15" x14ac:dyDescent="0.25">
      <c r="A404" s="153" t="s">
        <v>516</v>
      </c>
      <c r="B404" s="14"/>
      <c r="C404" s="8">
        <v>2</v>
      </c>
      <c r="D404" s="8"/>
      <c r="E404" s="106"/>
      <c r="F404" s="13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c r="AZ404" s="106"/>
      <c r="BA404" s="106"/>
      <c r="BB404" s="106"/>
    </row>
    <row r="405" spans="1:54" ht="15" x14ac:dyDescent="0.25">
      <c r="A405" s="153" t="s">
        <v>576</v>
      </c>
      <c r="B405" s="14">
        <v>10</v>
      </c>
      <c r="C405" s="8"/>
      <c r="D405" s="8"/>
      <c r="E405" s="106"/>
      <c r="F405" s="13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c r="AZ405" s="106"/>
      <c r="BA405" s="106"/>
      <c r="BB405" s="106"/>
    </row>
    <row r="406" spans="1:54" ht="15" x14ac:dyDescent="0.25">
      <c r="A406" s="153" t="s">
        <v>426</v>
      </c>
      <c r="B406" s="14">
        <v>1</v>
      </c>
      <c r="C406" s="8">
        <v>1</v>
      </c>
      <c r="D406" s="8">
        <v>1</v>
      </c>
      <c r="E406" s="106"/>
      <c r="F406" s="13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c r="AZ406" s="106"/>
      <c r="BA406" s="106"/>
      <c r="BB406" s="106"/>
    </row>
    <row r="407" spans="1:54" ht="15" x14ac:dyDescent="0.25">
      <c r="A407" s="153" t="s">
        <v>449</v>
      </c>
      <c r="B407" s="14">
        <v>3</v>
      </c>
      <c r="C407" s="8">
        <v>1</v>
      </c>
      <c r="D407" s="8"/>
      <c r="E407" s="106"/>
      <c r="F407" s="13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c r="AZ407" s="106"/>
      <c r="BA407" s="106"/>
      <c r="BB407" s="106"/>
    </row>
    <row r="408" spans="1:54" ht="15" x14ac:dyDescent="0.25">
      <c r="A408" s="153" t="s">
        <v>451</v>
      </c>
      <c r="B408" s="14">
        <v>2</v>
      </c>
      <c r="C408" s="8">
        <v>2</v>
      </c>
      <c r="D408" s="8"/>
      <c r="E408" s="106"/>
      <c r="F408" s="13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c r="AZ408" s="106"/>
      <c r="BA408" s="106"/>
      <c r="BB408" s="106"/>
    </row>
    <row r="409" spans="1:54" ht="15" x14ac:dyDescent="0.25">
      <c r="A409" s="153" t="s">
        <v>428</v>
      </c>
      <c r="B409" s="14">
        <v>4</v>
      </c>
      <c r="C409" s="8"/>
      <c r="D409" s="8"/>
      <c r="E409" s="106"/>
      <c r="F409" s="13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c r="AZ409" s="106"/>
      <c r="BA409" s="106"/>
      <c r="BB409" s="106"/>
    </row>
    <row r="410" spans="1:54" ht="15" x14ac:dyDescent="0.25">
      <c r="A410" s="153" t="s">
        <v>433</v>
      </c>
      <c r="B410" s="14"/>
      <c r="C410" s="8">
        <v>14</v>
      </c>
      <c r="D410" s="8"/>
      <c r="E410" s="106"/>
      <c r="F410" s="13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c r="AZ410" s="106"/>
      <c r="BA410" s="106"/>
      <c r="BB410" s="106"/>
    </row>
    <row r="411" spans="1:54" ht="15" x14ac:dyDescent="0.25">
      <c r="A411" s="153" t="s">
        <v>555</v>
      </c>
      <c r="B411" s="14">
        <v>10</v>
      </c>
      <c r="C411" s="8"/>
      <c r="D411" s="8"/>
      <c r="E411" s="106"/>
      <c r="F411" s="13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c r="AZ411" s="106"/>
      <c r="BA411" s="106"/>
      <c r="BB411" s="106"/>
    </row>
    <row r="412" spans="1:54" ht="15" x14ac:dyDescent="0.25">
      <c r="A412" s="153" t="s">
        <v>429</v>
      </c>
      <c r="B412" s="14"/>
      <c r="C412" s="8"/>
      <c r="D412" s="8">
        <v>6</v>
      </c>
      <c r="E412" s="106"/>
      <c r="F412" s="13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c r="AZ412" s="106"/>
      <c r="BA412" s="106"/>
      <c r="BB412" s="106"/>
    </row>
    <row r="413" spans="1:54" ht="15" x14ac:dyDescent="0.25">
      <c r="A413" s="153"/>
      <c r="B413" s="14"/>
      <c r="C413" s="8"/>
      <c r="D413" s="8"/>
      <c r="E413" s="106"/>
      <c r="F413" s="13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c r="AZ413" s="106"/>
      <c r="BA413" s="106"/>
      <c r="BB413" s="106"/>
    </row>
    <row r="414" spans="1:54" ht="15" x14ac:dyDescent="0.25">
      <c r="A414" s="143"/>
      <c r="B414" s="14"/>
      <c r="C414" s="8"/>
      <c r="D414" s="8"/>
      <c r="E414" s="107"/>
      <c r="F414" s="137"/>
      <c r="G414" s="107"/>
      <c r="H414" s="107"/>
      <c r="I414" s="107"/>
      <c r="J414" s="107"/>
      <c r="K414" s="107"/>
      <c r="L414" s="107"/>
      <c r="M414" s="107"/>
      <c r="N414" s="107"/>
      <c r="O414" s="107"/>
      <c r="P414" s="107"/>
      <c r="Q414" s="107"/>
      <c r="R414" s="107"/>
      <c r="S414" s="107"/>
      <c r="T414" s="107"/>
      <c r="U414" s="107"/>
      <c r="V414" s="107"/>
      <c r="W414" s="107"/>
      <c r="X414" s="107"/>
      <c r="Y414" s="107"/>
      <c r="Z414" s="107"/>
      <c r="AA414" s="107"/>
      <c r="AB414" s="107"/>
      <c r="AC414" s="107"/>
      <c r="AD414" s="107"/>
      <c r="AE414" s="107"/>
      <c r="AF414" s="107"/>
      <c r="AG414" s="107"/>
      <c r="AH414" s="107"/>
      <c r="AI414" s="107"/>
      <c r="AJ414" s="107"/>
      <c r="AK414" s="107"/>
      <c r="AL414" s="107"/>
      <c r="AM414" s="107"/>
      <c r="AN414" s="107"/>
      <c r="AO414" s="107"/>
      <c r="AP414" s="107"/>
      <c r="AQ414" s="107"/>
      <c r="AR414" s="107"/>
      <c r="AS414" s="107"/>
      <c r="AT414" s="107"/>
      <c r="AU414" s="107"/>
      <c r="AV414" s="107"/>
      <c r="AW414" s="107"/>
      <c r="AX414" s="107"/>
      <c r="AY414" s="107"/>
      <c r="AZ414" s="107"/>
      <c r="BA414" s="107"/>
      <c r="BB414" s="107"/>
    </row>
    <row r="415" spans="1:54" ht="17.399999999999999" x14ac:dyDescent="0.3">
      <c r="A415" s="145" t="s">
        <v>809</v>
      </c>
      <c r="B415" s="75"/>
      <c r="C415" s="8"/>
      <c r="D415" s="8"/>
      <c r="E415" s="107"/>
      <c r="F415" s="137"/>
      <c r="G415" s="107"/>
      <c r="H415" s="107"/>
      <c r="I415" s="107"/>
      <c r="J415" s="107"/>
      <c r="K415" s="107"/>
      <c r="L415" s="107"/>
      <c r="M415" s="107"/>
      <c r="N415" s="107"/>
      <c r="O415" s="107"/>
      <c r="P415" s="107"/>
      <c r="Q415" s="107"/>
      <c r="R415" s="107"/>
      <c r="S415" s="107"/>
      <c r="T415" s="107"/>
      <c r="U415" s="107"/>
      <c r="V415" s="107"/>
      <c r="W415" s="107"/>
      <c r="X415" s="107"/>
      <c r="Y415" s="107"/>
      <c r="Z415" s="107"/>
      <c r="AA415" s="107"/>
      <c r="AB415" s="107"/>
      <c r="AC415" s="107"/>
      <c r="AD415" s="107"/>
      <c r="AE415" s="107"/>
      <c r="AF415" s="107"/>
      <c r="AG415" s="107"/>
      <c r="AH415" s="107"/>
      <c r="AI415" s="107"/>
      <c r="AJ415" s="107"/>
      <c r="AK415" s="107"/>
      <c r="AL415" s="107"/>
      <c r="AM415" s="107"/>
      <c r="AN415" s="107"/>
      <c r="AO415" s="107"/>
      <c r="AP415" s="107"/>
      <c r="AQ415" s="107"/>
      <c r="AR415" s="107"/>
      <c r="AS415" s="107"/>
      <c r="AT415" s="107"/>
      <c r="AU415" s="107"/>
      <c r="AV415" s="107"/>
      <c r="AW415" s="107"/>
      <c r="AX415" s="107"/>
      <c r="AY415" s="107"/>
      <c r="AZ415" s="107"/>
      <c r="BA415" s="107"/>
      <c r="BB415" s="107"/>
    </row>
    <row r="416" spans="1:54" ht="15" x14ac:dyDescent="0.25">
      <c r="A416" s="147" t="s">
        <v>447</v>
      </c>
      <c r="B416" s="14">
        <v>2</v>
      </c>
      <c r="C416" s="8"/>
      <c r="D416" s="8"/>
      <c r="E416" s="107"/>
      <c r="F416" s="137"/>
      <c r="G416" s="107"/>
      <c r="H416" s="107"/>
      <c r="I416" s="107"/>
      <c r="J416" s="107"/>
      <c r="K416" s="107"/>
      <c r="L416" s="107"/>
      <c r="M416" s="107"/>
      <c r="N416" s="107"/>
      <c r="O416" s="107"/>
      <c r="P416" s="107"/>
      <c r="Q416" s="107"/>
      <c r="R416" s="107"/>
      <c r="S416" s="107"/>
      <c r="T416" s="107"/>
      <c r="U416" s="107"/>
      <c r="V416" s="107"/>
      <c r="W416" s="107"/>
      <c r="X416" s="107"/>
      <c r="Y416" s="107"/>
      <c r="Z416" s="107"/>
      <c r="AA416" s="107"/>
      <c r="AB416" s="107"/>
      <c r="AC416" s="107"/>
      <c r="AD416" s="107"/>
      <c r="AE416" s="107"/>
      <c r="AF416" s="107"/>
      <c r="AG416" s="107"/>
      <c r="AH416" s="107"/>
      <c r="AI416" s="107"/>
      <c r="AJ416" s="107"/>
      <c r="AK416" s="107"/>
      <c r="AL416" s="107"/>
      <c r="AM416" s="107"/>
      <c r="AN416" s="107"/>
      <c r="AO416" s="107"/>
      <c r="AP416" s="107"/>
      <c r="AQ416" s="107"/>
      <c r="AR416" s="107"/>
      <c r="AS416" s="107"/>
      <c r="AT416" s="107"/>
      <c r="AU416" s="107"/>
      <c r="AV416" s="107"/>
      <c r="AW416" s="107"/>
      <c r="AX416" s="107"/>
      <c r="AY416" s="107"/>
      <c r="AZ416" s="107"/>
      <c r="BA416" s="107"/>
      <c r="BB416" s="107"/>
    </row>
    <row r="417" spans="1:54" ht="15" x14ac:dyDescent="0.25">
      <c r="A417" s="147" t="s">
        <v>449</v>
      </c>
      <c r="B417" s="14">
        <v>4</v>
      </c>
      <c r="C417" s="8"/>
      <c r="D417" s="8"/>
      <c r="E417" s="107"/>
      <c r="F417" s="137"/>
      <c r="G417" s="107"/>
      <c r="H417" s="107"/>
      <c r="I417" s="107"/>
      <c r="J417" s="107"/>
      <c r="K417" s="107"/>
      <c r="L417" s="107"/>
      <c r="M417" s="107"/>
      <c r="N417" s="107"/>
      <c r="O417" s="107"/>
      <c r="P417" s="107"/>
      <c r="Q417" s="107"/>
      <c r="R417" s="107"/>
      <c r="S417" s="107"/>
      <c r="T417" s="107"/>
      <c r="U417" s="107"/>
      <c r="V417" s="107"/>
      <c r="W417" s="107"/>
      <c r="X417" s="107"/>
      <c r="Y417" s="107"/>
      <c r="Z417" s="107"/>
      <c r="AA417" s="107"/>
      <c r="AB417" s="107"/>
      <c r="AC417" s="107"/>
      <c r="AD417" s="107"/>
      <c r="AE417" s="107"/>
      <c r="AF417" s="107"/>
      <c r="AG417" s="107"/>
      <c r="AH417" s="107"/>
      <c r="AI417" s="107"/>
      <c r="AJ417" s="107"/>
      <c r="AK417" s="107"/>
      <c r="AL417" s="107"/>
      <c r="AM417" s="107"/>
      <c r="AN417" s="107"/>
      <c r="AO417" s="107"/>
      <c r="AP417" s="107"/>
      <c r="AQ417" s="107"/>
      <c r="AR417" s="107"/>
      <c r="AS417" s="107"/>
      <c r="AT417" s="107"/>
      <c r="AU417" s="107"/>
      <c r="AV417" s="107"/>
      <c r="AW417" s="107"/>
      <c r="AX417" s="107"/>
      <c r="AY417" s="107"/>
      <c r="AZ417" s="107"/>
      <c r="BA417" s="107"/>
      <c r="BB417" s="107"/>
    </row>
    <row r="418" spans="1:54" ht="15" x14ac:dyDescent="0.25">
      <c r="A418" s="147" t="s">
        <v>451</v>
      </c>
      <c r="B418" s="14">
        <v>1</v>
      </c>
      <c r="C418" s="8"/>
      <c r="D418" s="8"/>
      <c r="E418" s="107"/>
      <c r="F418" s="137"/>
      <c r="G418" s="107"/>
      <c r="H418" s="107"/>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c r="AI418" s="107"/>
      <c r="AJ418" s="107"/>
      <c r="AK418" s="107"/>
      <c r="AL418" s="107"/>
      <c r="AM418" s="107"/>
      <c r="AN418" s="107"/>
      <c r="AO418" s="107"/>
      <c r="AP418" s="107"/>
      <c r="AQ418" s="107"/>
      <c r="AR418" s="107"/>
      <c r="AS418" s="107"/>
      <c r="AT418" s="107"/>
      <c r="AU418" s="107"/>
      <c r="AV418" s="107"/>
      <c r="AW418" s="107"/>
      <c r="AX418" s="107"/>
      <c r="AY418" s="107"/>
      <c r="AZ418" s="107"/>
      <c r="BA418" s="107"/>
      <c r="BB418" s="107"/>
    </row>
    <row r="419" spans="1:54" ht="15" x14ac:dyDescent="0.25">
      <c r="A419" s="147" t="s">
        <v>453</v>
      </c>
      <c r="B419" s="14">
        <v>1</v>
      </c>
      <c r="C419" s="8"/>
      <c r="D419" s="8"/>
      <c r="E419" s="107"/>
      <c r="F419" s="137"/>
      <c r="G419" s="107"/>
      <c r="H419" s="107"/>
      <c r="I419" s="107"/>
      <c r="J419" s="107"/>
      <c r="K419" s="107"/>
      <c r="L419" s="107"/>
      <c r="M419" s="107"/>
      <c r="N419" s="107"/>
      <c r="O419" s="107"/>
      <c r="P419" s="107"/>
      <c r="Q419" s="107"/>
      <c r="R419" s="107"/>
      <c r="S419" s="107"/>
      <c r="T419" s="107"/>
      <c r="U419" s="107"/>
      <c r="V419" s="107"/>
      <c r="W419" s="107"/>
      <c r="X419" s="107"/>
      <c r="Y419" s="107"/>
      <c r="Z419" s="107"/>
      <c r="AA419" s="107"/>
      <c r="AB419" s="107"/>
      <c r="AC419" s="107"/>
      <c r="AD419" s="107"/>
      <c r="AE419" s="107"/>
      <c r="AF419" s="107"/>
      <c r="AG419" s="107"/>
      <c r="AH419" s="107"/>
      <c r="AI419" s="107"/>
      <c r="AJ419" s="107"/>
      <c r="AK419" s="107"/>
      <c r="AL419" s="107"/>
      <c r="AM419" s="107"/>
      <c r="AN419" s="107"/>
      <c r="AO419" s="107"/>
      <c r="AP419" s="107"/>
      <c r="AQ419" s="107"/>
      <c r="AR419" s="107"/>
      <c r="AS419" s="107"/>
      <c r="AT419" s="107"/>
      <c r="AU419" s="107"/>
      <c r="AV419" s="107"/>
      <c r="AW419" s="107"/>
      <c r="AX419" s="107"/>
      <c r="AY419" s="107"/>
      <c r="AZ419" s="107"/>
      <c r="BA419" s="107"/>
      <c r="BB419" s="107"/>
    </row>
    <row r="420" spans="1:54" ht="15" x14ac:dyDescent="0.25">
      <c r="A420" s="147" t="s">
        <v>413</v>
      </c>
      <c r="B420" s="14">
        <v>3</v>
      </c>
      <c r="C420" s="8"/>
      <c r="D420" s="8"/>
      <c r="E420" s="107"/>
      <c r="F420" s="137"/>
      <c r="G420" s="107"/>
      <c r="H420" s="107"/>
      <c r="I420" s="107"/>
      <c r="J420" s="107"/>
      <c r="K420" s="107"/>
      <c r="L420" s="107"/>
      <c r="M420" s="107"/>
      <c r="N420" s="107"/>
      <c r="O420" s="107"/>
      <c r="P420" s="107"/>
      <c r="Q420" s="107"/>
      <c r="R420" s="107"/>
      <c r="S420" s="107"/>
      <c r="T420" s="107"/>
      <c r="U420" s="107"/>
      <c r="V420" s="107"/>
      <c r="W420" s="107"/>
      <c r="X420" s="107"/>
      <c r="Y420" s="107"/>
      <c r="Z420" s="107"/>
      <c r="AA420" s="107"/>
      <c r="AB420" s="107"/>
      <c r="AC420" s="107"/>
      <c r="AD420" s="107"/>
      <c r="AE420" s="107"/>
      <c r="AF420" s="107"/>
      <c r="AG420" s="107"/>
      <c r="AH420" s="107"/>
      <c r="AI420" s="107"/>
      <c r="AJ420" s="107"/>
      <c r="AK420" s="107"/>
      <c r="AL420" s="107"/>
      <c r="AM420" s="107"/>
      <c r="AN420" s="107"/>
      <c r="AO420" s="107"/>
      <c r="AP420" s="107"/>
      <c r="AQ420" s="107"/>
      <c r="AR420" s="107"/>
      <c r="AS420" s="107"/>
      <c r="AT420" s="107"/>
      <c r="AU420" s="107"/>
      <c r="AV420" s="107"/>
      <c r="AW420" s="107"/>
      <c r="AX420" s="107"/>
      <c r="AY420" s="107"/>
      <c r="AZ420" s="107"/>
      <c r="BA420" s="107"/>
      <c r="BB420" s="107"/>
    </row>
    <row r="421" spans="1:54" ht="15" x14ac:dyDescent="0.25">
      <c r="A421" s="147" t="s">
        <v>412</v>
      </c>
      <c r="B421" s="14">
        <v>1</v>
      </c>
      <c r="C421" s="8"/>
      <c r="D421" s="8"/>
      <c r="E421" s="107"/>
      <c r="F421" s="137"/>
      <c r="G421" s="107"/>
      <c r="H421" s="107"/>
      <c r="I421" s="107"/>
      <c r="J421" s="107"/>
      <c r="K421" s="107"/>
      <c r="L421" s="107"/>
      <c r="M421" s="107"/>
      <c r="N421" s="107"/>
      <c r="O421" s="107"/>
      <c r="P421" s="107"/>
      <c r="Q421" s="107"/>
      <c r="R421" s="107"/>
      <c r="S421" s="107"/>
      <c r="T421" s="107"/>
      <c r="U421" s="107"/>
      <c r="V421" s="107"/>
      <c r="W421" s="107"/>
      <c r="X421" s="107"/>
      <c r="Y421" s="107"/>
      <c r="Z421" s="107"/>
      <c r="AA421" s="107"/>
      <c r="AB421" s="107"/>
      <c r="AC421" s="107"/>
      <c r="AD421" s="107"/>
      <c r="AE421" s="107"/>
      <c r="AF421" s="107"/>
      <c r="AG421" s="107"/>
      <c r="AH421" s="107"/>
      <c r="AI421" s="107"/>
      <c r="AJ421" s="107"/>
      <c r="AK421" s="107"/>
      <c r="AL421" s="107"/>
      <c r="AM421" s="107"/>
      <c r="AN421" s="107"/>
      <c r="AO421" s="107"/>
      <c r="AP421" s="107"/>
      <c r="AQ421" s="107"/>
      <c r="AR421" s="107"/>
      <c r="AS421" s="107"/>
      <c r="AT421" s="107"/>
      <c r="AU421" s="107"/>
      <c r="AV421" s="107"/>
      <c r="AW421" s="107"/>
      <c r="AX421" s="107"/>
      <c r="AY421" s="107"/>
      <c r="AZ421" s="107"/>
      <c r="BA421" s="107"/>
      <c r="BB421" s="107"/>
    </row>
    <row r="422" spans="1:54" ht="15" x14ac:dyDescent="0.25">
      <c r="A422" s="147"/>
      <c r="B422" s="14"/>
      <c r="C422" s="8"/>
      <c r="D422" s="8"/>
      <c r="E422" s="107"/>
      <c r="F422" s="137"/>
      <c r="G422" s="107"/>
      <c r="H422" s="107"/>
      <c r="I422" s="107"/>
      <c r="J422" s="107"/>
      <c r="K422" s="107"/>
      <c r="L422" s="107"/>
      <c r="M422" s="107"/>
      <c r="N422" s="107"/>
      <c r="O422" s="107"/>
      <c r="P422" s="107"/>
      <c r="Q422" s="107"/>
      <c r="R422" s="107"/>
      <c r="S422" s="107"/>
      <c r="T422" s="107"/>
      <c r="U422" s="107"/>
      <c r="V422" s="107"/>
      <c r="W422" s="107"/>
      <c r="X422" s="107"/>
      <c r="Y422" s="107"/>
      <c r="Z422" s="107"/>
      <c r="AA422" s="107"/>
      <c r="AB422" s="107"/>
      <c r="AC422" s="107"/>
      <c r="AD422" s="107"/>
      <c r="AE422" s="107"/>
      <c r="AF422" s="107"/>
      <c r="AG422" s="107"/>
      <c r="AH422" s="107"/>
      <c r="AI422" s="107"/>
      <c r="AJ422" s="107"/>
      <c r="AK422" s="107"/>
      <c r="AL422" s="107"/>
      <c r="AM422" s="107"/>
      <c r="AN422" s="107"/>
      <c r="AO422" s="107"/>
      <c r="AP422" s="107"/>
      <c r="AQ422" s="107"/>
      <c r="AR422" s="107"/>
      <c r="AS422" s="107"/>
      <c r="AT422" s="107"/>
      <c r="AU422" s="107"/>
      <c r="AV422" s="107"/>
      <c r="AW422" s="107"/>
      <c r="AX422" s="107"/>
      <c r="AY422" s="107"/>
      <c r="AZ422" s="107"/>
      <c r="BA422" s="107"/>
      <c r="BB422" s="107"/>
    </row>
    <row r="423" spans="1:54" ht="15" x14ac:dyDescent="0.25">
      <c r="A423" s="147"/>
      <c r="B423" s="14"/>
      <c r="C423" s="8"/>
      <c r="D423" s="8"/>
      <c r="E423" s="107"/>
      <c r="F423" s="137"/>
      <c r="G423" s="107"/>
      <c r="H423" s="107"/>
      <c r="I423" s="107"/>
      <c r="J423" s="107"/>
      <c r="K423" s="107"/>
      <c r="L423" s="107"/>
      <c r="M423" s="107"/>
      <c r="N423" s="107"/>
      <c r="O423" s="107"/>
      <c r="P423" s="107"/>
      <c r="Q423" s="107"/>
      <c r="R423" s="107"/>
      <c r="S423" s="107"/>
      <c r="T423" s="107"/>
      <c r="U423" s="107"/>
      <c r="V423" s="107"/>
      <c r="W423" s="107"/>
      <c r="X423" s="107"/>
      <c r="Y423" s="107"/>
      <c r="Z423" s="107"/>
      <c r="AA423" s="107"/>
      <c r="AB423" s="107"/>
      <c r="AC423" s="107"/>
      <c r="AD423" s="107"/>
      <c r="AE423" s="107"/>
      <c r="AF423" s="107"/>
      <c r="AG423" s="107"/>
      <c r="AH423" s="107"/>
      <c r="AI423" s="107"/>
      <c r="AJ423" s="107"/>
      <c r="AK423" s="107"/>
      <c r="AL423" s="107"/>
      <c r="AM423" s="107"/>
      <c r="AN423" s="107"/>
      <c r="AO423" s="107"/>
      <c r="AP423" s="107"/>
      <c r="AQ423" s="107"/>
      <c r="AR423" s="107"/>
      <c r="AS423" s="107"/>
      <c r="AT423" s="107"/>
      <c r="AU423" s="107"/>
      <c r="AV423" s="107"/>
      <c r="AW423" s="107"/>
      <c r="AX423" s="107"/>
      <c r="AY423" s="107"/>
      <c r="AZ423" s="107"/>
      <c r="BA423" s="107"/>
      <c r="BB423" s="107"/>
    </row>
    <row r="424" spans="1:54" ht="15" x14ac:dyDescent="0.25">
      <c r="A424" s="147"/>
      <c r="B424" s="14"/>
      <c r="C424" s="8"/>
      <c r="D424" s="8"/>
      <c r="E424" s="106"/>
      <c r="F424" s="13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c r="AZ424" s="106"/>
      <c r="BA424" s="106"/>
      <c r="BB424" s="106"/>
    </row>
    <row r="425" spans="1:54" ht="15" x14ac:dyDescent="0.25">
      <c r="A425" s="143"/>
      <c r="B425" s="23"/>
      <c r="C425" s="8"/>
      <c r="D425" s="8"/>
      <c r="E425" s="107"/>
      <c r="F425" s="137"/>
      <c r="G425" s="107"/>
      <c r="H425" s="107"/>
      <c r="I425" s="107"/>
      <c r="J425" s="107"/>
      <c r="K425" s="107"/>
      <c r="L425" s="107"/>
      <c r="M425" s="107"/>
      <c r="N425" s="107"/>
      <c r="O425" s="107"/>
      <c r="P425" s="107"/>
      <c r="Q425" s="107"/>
      <c r="R425" s="107"/>
      <c r="S425" s="107"/>
      <c r="T425" s="107"/>
      <c r="U425" s="107"/>
      <c r="V425" s="107"/>
      <c r="W425" s="107"/>
      <c r="X425" s="107"/>
      <c r="Y425" s="107"/>
      <c r="Z425" s="107"/>
      <c r="AA425" s="107"/>
      <c r="AB425" s="107"/>
      <c r="AC425" s="107"/>
      <c r="AD425" s="107"/>
      <c r="AE425" s="107"/>
      <c r="AF425" s="107"/>
      <c r="AG425" s="107"/>
      <c r="AH425" s="107"/>
      <c r="AI425" s="107"/>
      <c r="AJ425" s="107"/>
      <c r="AK425" s="107"/>
      <c r="AL425" s="107"/>
      <c r="AM425" s="107"/>
      <c r="AN425" s="107"/>
      <c r="AO425" s="107"/>
      <c r="AP425" s="107"/>
      <c r="AQ425" s="107"/>
      <c r="AR425" s="107"/>
      <c r="AS425" s="107"/>
      <c r="AT425" s="107"/>
      <c r="AU425" s="107"/>
      <c r="AV425" s="107"/>
      <c r="AW425" s="107"/>
      <c r="AX425" s="107"/>
      <c r="AY425" s="107"/>
      <c r="AZ425" s="107"/>
      <c r="BA425" s="107"/>
      <c r="BB425" s="107"/>
    </row>
    <row r="426" spans="1:54" ht="15" x14ac:dyDescent="0.25">
      <c r="A426" s="143"/>
      <c r="B426" s="14"/>
      <c r="C426" s="8"/>
      <c r="D426" s="8"/>
      <c r="E426" s="107"/>
      <c r="F426" s="137"/>
      <c r="G426" s="107"/>
      <c r="H426" s="107"/>
      <c r="I426" s="107"/>
      <c r="J426" s="107"/>
      <c r="K426" s="107"/>
      <c r="L426" s="107"/>
      <c r="M426" s="107"/>
      <c r="N426" s="107"/>
      <c r="O426" s="107"/>
      <c r="P426" s="107"/>
      <c r="Q426" s="107"/>
      <c r="R426" s="107"/>
      <c r="S426" s="107"/>
      <c r="T426" s="107"/>
      <c r="U426" s="107"/>
      <c r="V426" s="107"/>
      <c r="W426" s="107"/>
      <c r="X426" s="107"/>
      <c r="Y426" s="107"/>
      <c r="Z426" s="107"/>
      <c r="AA426" s="107"/>
      <c r="AB426" s="107"/>
      <c r="AC426" s="107"/>
      <c r="AD426" s="107"/>
      <c r="AE426" s="107"/>
      <c r="AF426" s="107"/>
      <c r="AG426" s="107"/>
      <c r="AH426" s="107"/>
      <c r="AI426" s="107"/>
      <c r="AJ426" s="107"/>
      <c r="AK426" s="107"/>
      <c r="AL426" s="107"/>
      <c r="AM426" s="107"/>
      <c r="AN426" s="107"/>
      <c r="AO426" s="107"/>
      <c r="AP426" s="107"/>
      <c r="AQ426" s="107"/>
      <c r="AR426" s="107"/>
      <c r="AS426" s="107"/>
      <c r="AT426" s="107"/>
      <c r="AU426" s="107"/>
      <c r="AV426" s="107"/>
      <c r="AW426" s="107"/>
      <c r="AX426" s="107"/>
      <c r="AY426" s="107"/>
      <c r="AZ426" s="107"/>
      <c r="BA426" s="107"/>
      <c r="BB426" s="107"/>
    </row>
    <row r="427" spans="1:54" ht="17.399999999999999" x14ac:dyDescent="0.3">
      <c r="A427" s="145" t="s">
        <v>810</v>
      </c>
      <c r="B427" s="75"/>
      <c r="C427" s="8"/>
      <c r="D427" s="8"/>
      <c r="E427" s="107"/>
      <c r="F427" s="137"/>
      <c r="G427" s="107"/>
      <c r="H427" s="107"/>
      <c r="I427" s="107"/>
      <c r="J427" s="107"/>
      <c r="K427" s="107"/>
      <c r="L427" s="107"/>
      <c r="M427" s="107"/>
      <c r="N427" s="107"/>
      <c r="O427" s="107"/>
      <c r="P427" s="107"/>
      <c r="Q427" s="107"/>
      <c r="R427" s="107"/>
      <c r="S427" s="107"/>
      <c r="T427" s="107"/>
      <c r="U427" s="107"/>
      <c r="V427" s="107"/>
      <c r="W427" s="107"/>
      <c r="X427" s="107"/>
      <c r="Y427" s="107"/>
      <c r="Z427" s="107"/>
      <c r="AA427" s="107"/>
      <c r="AB427" s="107"/>
      <c r="AC427" s="107"/>
      <c r="AD427" s="107"/>
      <c r="AE427" s="107"/>
      <c r="AF427" s="107"/>
      <c r="AG427" s="107"/>
      <c r="AH427" s="107"/>
      <c r="AI427" s="107"/>
      <c r="AJ427" s="107"/>
      <c r="AK427" s="107"/>
      <c r="AL427" s="107"/>
      <c r="AM427" s="107"/>
      <c r="AN427" s="107"/>
      <c r="AO427" s="107"/>
      <c r="AP427" s="107"/>
      <c r="AQ427" s="107"/>
      <c r="AR427" s="107"/>
      <c r="AS427" s="107"/>
      <c r="AT427" s="107"/>
      <c r="AU427" s="107"/>
      <c r="AV427" s="107"/>
      <c r="AW427" s="107"/>
      <c r="AX427" s="107"/>
      <c r="AY427" s="107"/>
      <c r="AZ427" s="107"/>
      <c r="BA427" s="107"/>
      <c r="BB427" s="107"/>
    </row>
    <row r="428" spans="1:54" ht="15" x14ac:dyDescent="0.25">
      <c r="A428" s="143" t="s">
        <v>589</v>
      </c>
      <c r="B428" s="23">
        <v>3</v>
      </c>
      <c r="C428" s="8"/>
      <c r="D428" s="8"/>
      <c r="E428" s="107"/>
      <c r="F428" s="137"/>
      <c r="G428" s="107"/>
      <c r="H428" s="107"/>
      <c r="I428" s="107"/>
      <c r="J428" s="107"/>
      <c r="K428" s="107"/>
      <c r="L428" s="107"/>
      <c r="M428" s="107"/>
      <c r="N428" s="107"/>
      <c r="O428" s="107"/>
      <c r="P428" s="107"/>
      <c r="Q428" s="107"/>
      <c r="R428" s="107"/>
      <c r="S428" s="107"/>
      <c r="T428" s="107"/>
      <c r="U428" s="107"/>
      <c r="V428" s="107"/>
      <c r="W428" s="107"/>
      <c r="X428" s="107"/>
      <c r="Y428" s="107"/>
      <c r="Z428" s="107"/>
      <c r="AA428" s="107"/>
      <c r="AB428" s="107"/>
      <c r="AC428" s="107"/>
      <c r="AD428" s="107"/>
      <c r="AE428" s="107"/>
      <c r="AF428" s="107"/>
      <c r="AG428" s="107"/>
      <c r="AH428" s="107"/>
      <c r="AI428" s="107"/>
      <c r="AJ428" s="107"/>
      <c r="AK428" s="107"/>
      <c r="AL428" s="107"/>
      <c r="AM428" s="107"/>
      <c r="AN428" s="107"/>
      <c r="AO428" s="107"/>
      <c r="AP428" s="107"/>
      <c r="AQ428" s="107"/>
      <c r="AR428" s="107"/>
      <c r="AS428" s="107"/>
      <c r="AT428" s="107"/>
      <c r="AU428" s="107"/>
      <c r="AV428" s="107"/>
      <c r="AW428" s="107"/>
      <c r="AX428" s="107"/>
      <c r="AY428" s="107"/>
      <c r="AZ428" s="107"/>
      <c r="BA428" s="107"/>
      <c r="BB428" s="107"/>
    </row>
    <row r="429" spans="1:54" ht="15" x14ac:dyDescent="0.25">
      <c r="A429" s="143" t="s">
        <v>588</v>
      </c>
      <c r="B429" s="23">
        <v>4</v>
      </c>
      <c r="C429" s="8"/>
      <c r="D429" s="8"/>
      <c r="E429" s="107"/>
      <c r="F429" s="137"/>
      <c r="G429" s="107"/>
      <c r="H429" s="107"/>
      <c r="I429" s="107"/>
      <c r="J429" s="107"/>
      <c r="K429" s="107"/>
      <c r="L429" s="107"/>
      <c r="M429" s="107"/>
      <c r="N429" s="107"/>
      <c r="O429" s="107"/>
      <c r="P429" s="107"/>
      <c r="Q429" s="107"/>
      <c r="R429" s="107"/>
      <c r="S429" s="107"/>
      <c r="T429" s="107"/>
      <c r="U429" s="107"/>
      <c r="V429" s="107"/>
      <c r="W429" s="107"/>
      <c r="X429" s="107"/>
      <c r="Y429" s="107"/>
      <c r="Z429" s="107"/>
      <c r="AA429" s="107"/>
      <c r="AB429" s="107"/>
      <c r="AC429" s="107"/>
      <c r="AD429" s="107"/>
      <c r="AE429" s="107"/>
      <c r="AF429" s="107"/>
      <c r="AG429" s="107"/>
      <c r="AH429" s="107"/>
      <c r="AI429" s="107"/>
      <c r="AJ429" s="107"/>
      <c r="AK429" s="107"/>
      <c r="AL429" s="107"/>
      <c r="AM429" s="107"/>
      <c r="AN429" s="107"/>
      <c r="AO429" s="107"/>
      <c r="AP429" s="107"/>
      <c r="AQ429" s="107"/>
      <c r="AR429" s="107"/>
      <c r="AS429" s="107"/>
      <c r="AT429" s="107"/>
      <c r="AU429" s="107"/>
      <c r="AV429" s="107"/>
      <c r="AW429" s="107"/>
      <c r="AX429" s="107"/>
      <c r="AY429" s="107"/>
      <c r="AZ429" s="107"/>
      <c r="BA429" s="107"/>
      <c r="BB429" s="107"/>
    </row>
    <row r="430" spans="1:54" ht="15" x14ac:dyDescent="0.25">
      <c r="A430" s="143" t="s">
        <v>573</v>
      </c>
      <c r="B430" s="23">
        <v>2</v>
      </c>
      <c r="C430" s="8">
        <v>3</v>
      </c>
      <c r="D430" s="8"/>
      <c r="E430" s="107"/>
      <c r="F430" s="137"/>
      <c r="G430" s="107"/>
      <c r="H430" s="107"/>
      <c r="I430" s="107"/>
      <c r="J430" s="107"/>
      <c r="K430" s="107"/>
      <c r="L430" s="107"/>
      <c r="M430" s="107"/>
      <c r="N430" s="107"/>
      <c r="O430" s="107"/>
      <c r="P430" s="107"/>
      <c r="Q430" s="107"/>
      <c r="R430" s="107"/>
      <c r="S430" s="107"/>
      <c r="T430" s="107"/>
      <c r="U430" s="107"/>
      <c r="V430" s="107"/>
      <c r="W430" s="107"/>
      <c r="X430" s="107"/>
      <c r="Y430" s="107"/>
      <c r="Z430" s="107"/>
      <c r="AA430" s="107"/>
      <c r="AB430" s="107"/>
      <c r="AC430" s="107"/>
      <c r="AD430" s="107"/>
      <c r="AE430" s="107"/>
      <c r="AF430" s="107"/>
      <c r="AG430" s="107"/>
      <c r="AH430" s="107"/>
      <c r="AI430" s="107"/>
      <c r="AJ430" s="107"/>
      <c r="AK430" s="107"/>
      <c r="AL430" s="107"/>
      <c r="AM430" s="107"/>
      <c r="AN430" s="107"/>
      <c r="AO430" s="107"/>
      <c r="AP430" s="107"/>
      <c r="AQ430" s="107"/>
      <c r="AR430" s="107"/>
      <c r="AS430" s="107"/>
      <c r="AT430" s="107"/>
      <c r="AU430" s="107"/>
      <c r="AV430" s="107"/>
      <c r="AW430" s="107"/>
      <c r="AX430" s="107"/>
      <c r="AY430" s="107"/>
      <c r="AZ430" s="107"/>
      <c r="BA430" s="107"/>
      <c r="BB430" s="107"/>
    </row>
    <row r="431" spans="1:54" ht="15" x14ac:dyDescent="0.25">
      <c r="A431" s="143" t="s">
        <v>410</v>
      </c>
      <c r="B431" s="23">
        <v>1</v>
      </c>
      <c r="C431" s="8"/>
      <c r="D431" s="8"/>
      <c r="E431" s="107"/>
      <c r="F431" s="137"/>
      <c r="G431" s="107"/>
      <c r="H431" s="107"/>
      <c r="I431" s="107"/>
      <c r="J431" s="107"/>
      <c r="K431" s="107"/>
      <c r="L431" s="107"/>
      <c r="M431" s="107"/>
      <c r="N431" s="107"/>
      <c r="O431" s="107"/>
      <c r="P431" s="107"/>
      <c r="Q431" s="107"/>
      <c r="R431" s="107"/>
      <c r="S431" s="107"/>
      <c r="T431" s="107"/>
      <c r="U431" s="107"/>
      <c r="V431" s="107"/>
      <c r="W431" s="107"/>
      <c r="X431" s="107"/>
      <c r="Y431" s="107"/>
      <c r="Z431" s="107"/>
      <c r="AA431" s="107"/>
      <c r="AB431" s="107"/>
      <c r="AC431" s="107"/>
      <c r="AD431" s="107"/>
      <c r="AE431" s="107"/>
      <c r="AF431" s="107"/>
      <c r="AG431" s="107"/>
      <c r="AH431" s="107"/>
      <c r="AI431" s="107"/>
      <c r="AJ431" s="107"/>
      <c r="AK431" s="107"/>
      <c r="AL431" s="107"/>
      <c r="AM431" s="107"/>
      <c r="AN431" s="107"/>
      <c r="AO431" s="107"/>
      <c r="AP431" s="107"/>
      <c r="AQ431" s="107"/>
      <c r="AR431" s="107"/>
      <c r="AS431" s="107"/>
      <c r="AT431" s="107"/>
      <c r="AU431" s="107"/>
      <c r="AV431" s="107"/>
      <c r="AW431" s="107"/>
      <c r="AX431" s="107"/>
      <c r="AY431" s="107"/>
      <c r="AZ431" s="107"/>
      <c r="BA431" s="107"/>
      <c r="BB431" s="107"/>
    </row>
    <row r="432" spans="1:54" ht="15" x14ac:dyDescent="0.25">
      <c r="A432" s="143" t="s">
        <v>428</v>
      </c>
      <c r="B432" s="23">
        <v>10</v>
      </c>
      <c r="C432" s="8"/>
      <c r="D432" s="8"/>
      <c r="E432" s="107"/>
      <c r="F432" s="137"/>
      <c r="G432" s="107"/>
      <c r="H432" s="107"/>
      <c r="I432" s="107"/>
      <c r="J432" s="107"/>
      <c r="K432" s="107"/>
      <c r="L432" s="107"/>
      <c r="M432" s="107"/>
      <c r="N432" s="107"/>
      <c r="O432" s="107"/>
      <c r="P432" s="107"/>
      <c r="Q432" s="107"/>
      <c r="R432" s="107"/>
      <c r="S432" s="107"/>
      <c r="T432" s="107"/>
      <c r="U432" s="107"/>
      <c r="V432" s="107"/>
      <c r="W432" s="107"/>
      <c r="X432" s="107"/>
      <c r="Y432" s="107"/>
      <c r="Z432" s="107"/>
      <c r="AA432" s="107"/>
      <c r="AB432" s="107"/>
      <c r="AC432" s="107"/>
      <c r="AD432" s="107"/>
      <c r="AE432" s="107"/>
      <c r="AF432" s="107"/>
      <c r="AG432" s="107"/>
      <c r="AH432" s="107"/>
      <c r="AI432" s="107"/>
      <c r="AJ432" s="107"/>
      <c r="AK432" s="107"/>
      <c r="AL432" s="107"/>
      <c r="AM432" s="107"/>
      <c r="AN432" s="107"/>
      <c r="AO432" s="107"/>
      <c r="AP432" s="107"/>
      <c r="AQ432" s="107"/>
      <c r="AR432" s="107"/>
      <c r="AS432" s="107"/>
      <c r="AT432" s="107"/>
      <c r="AU432" s="107"/>
      <c r="AV432" s="107"/>
      <c r="AW432" s="107"/>
      <c r="AX432" s="107"/>
      <c r="AY432" s="107"/>
      <c r="AZ432" s="107"/>
      <c r="BA432" s="107"/>
      <c r="BB432" s="107"/>
    </row>
    <row r="433" spans="1:54" ht="15" x14ac:dyDescent="0.25">
      <c r="A433" s="143" t="s">
        <v>433</v>
      </c>
      <c r="B433" s="23">
        <v>10</v>
      </c>
      <c r="C433" s="8"/>
      <c r="D433" s="8"/>
      <c r="E433" s="107"/>
      <c r="F433" s="137"/>
      <c r="G433" s="107"/>
      <c r="H433" s="107"/>
      <c r="I433" s="107"/>
      <c r="J433" s="107"/>
      <c r="K433" s="107"/>
      <c r="L433" s="107"/>
      <c r="M433" s="107"/>
      <c r="N433" s="107"/>
      <c r="O433" s="107"/>
      <c r="P433" s="107"/>
      <c r="Q433" s="107"/>
      <c r="R433" s="107"/>
      <c r="S433" s="107"/>
      <c r="T433" s="107"/>
      <c r="U433" s="107"/>
      <c r="V433" s="107"/>
      <c r="W433" s="107"/>
      <c r="X433" s="107"/>
      <c r="Y433" s="107"/>
      <c r="Z433" s="107"/>
      <c r="AA433" s="107"/>
      <c r="AB433" s="107"/>
      <c r="AC433" s="107"/>
      <c r="AD433" s="107"/>
      <c r="AE433" s="107"/>
      <c r="AF433" s="107"/>
      <c r="AG433" s="107"/>
      <c r="AH433" s="107"/>
      <c r="AI433" s="107"/>
      <c r="AJ433" s="107"/>
      <c r="AK433" s="107"/>
      <c r="AL433" s="107"/>
      <c r="AM433" s="107"/>
      <c r="AN433" s="107"/>
      <c r="AO433" s="107"/>
      <c r="AP433" s="107"/>
      <c r="AQ433" s="107"/>
      <c r="AR433" s="107"/>
      <c r="AS433" s="107"/>
      <c r="AT433" s="107"/>
      <c r="AU433" s="107"/>
      <c r="AV433" s="107"/>
      <c r="AW433" s="107"/>
      <c r="AX433" s="107"/>
      <c r="AY433" s="107"/>
      <c r="AZ433" s="107"/>
      <c r="BA433" s="107"/>
      <c r="BB433" s="107"/>
    </row>
    <row r="434" spans="1:54" ht="15" x14ac:dyDescent="0.25">
      <c r="A434" s="143" t="s">
        <v>438</v>
      </c>
      <c r="B434" s="23"/>
      <c r="C434" s="8">
        <v>20</v>
      </c>
      <c r="D434" s="8"/>
      <c r="E434" s="107"/>
      <c r="F434" s="137"/>
      <c r="G434" s="107"/>
      <c r="H434" s="107"/>
      <c r="I434" s="107"/>
      <c r="J434" s="107"/>
      <c r="K434" s="107"/>
      <c r="L434" s="107"/>
      <c r="M434" s="107"/>
      <c r="N434" s="107"/>
      <c r="O434" s="107"/>
      <c r="P434" s="107"/>
      <c r="Q434" s="107"/>
      <c r="R434" s="107"/>
      <c r="S434" s="107"/>
      <c r="T434" s="107"/>
      <c r="U434" s="107"/>
      <c r="V434" s="107"/>
      <c r="W434" s="107"/>
      <c r="X434" s="107"/>
      <c r="Y434" s="107"/>
      <c r="Z434" s="107"/>
      <c r="AA434" s="107"/>
      <c r="AB434" s="107"/>
      <c r="AC434" s="107"/>
      <c r="AD434" s="107"/>
      <c r="AE434" s="107"/>
      <c r="AF434" s="107"/>
      <c r="AG434" s="107"/>
      <c r="AH434" s="107"/>
      <c r="AI434" s="107"/>
      <c r="AJ434" s="107"/>
      <c r="AK434" s="107"/>
      <c r="AL434" s="107"/>
      <c r="AM434" s="107"/>
      <c r="AN434" s="107"/>
      <c r="AO434" s="107"/>
      <c r="AP434" s="107"/>
      <c r="AQ434" s="107"/>
      <c r="AR434" s="107"/>
      <c r="AS434" s="107"/>
      <c r="AT434" s="107"/>
      <c r="AU434" s="107"/>
      <c r="AV434" s="107"/>
      <c r="AW434" s="107"/>
      <c r="AX434" s="107"/>
      <c r="AY434" s="107"/>
      <c r="AZ434" s="107"/>
      <c r="BA434" s="107"/>
      <c r="BB434" s="107"/>
    </row>
    <row r="435" spans="1:54" ht="15" x14ac:dyDescent="0.25">
      <c r="A435" s="143" t="s">
        <v>412</v>
      </c>
      <c r="B435" s="23">
        <v>2</v>
      </c>
      <c r="C435" s="8"/>
      <c r="D435" s="8"/>
      <c r="E435" s="107"/>
      <c r="F435" s="137"/>
      <c r="G435" s="107"/>
      <c r="H435" s="107"/>
      <c r="I435" s="107"/>
      <c r="J435" s="107"/>
      <c r="K435" s="107"/>
      <c r="L435" s="107"/>
      <c r="M435" s="107"/>
      <c r="N435" s="107"/>
      <c r="O435" s="107"/>
      <c r="P435" s="107"/>
      <c r="Q435" s="107"/>
      <c r="R435" s="107"/>
      <c r="S435" s="107"/>
      <c r="T435" s="107"/>
      <c r="U435" s="107"/>
      <c r="V435" s="107"/>
      <c r="W435" s="107"/>
      <c r="X435" s="107"/>
      <c r="Y435" s="107"/>
      <c r="Z435" s="107"/>
      <c r="AA435" s="107"/>
      <c r="AB435" s="107"/>
      <c r="AC435" s="107"/>
      <c r="AD435" s="107"/>
      <c r="AE435" s="107"/>
      <c r="AF435" s="107"/>
      <c r="AG435" s="107"/>
      <c r="AH435" s="107"/>
      <c r="AI435" s="107"/>
      <c r="AJ435" s="107"/>
      <c r="AK435" s="107"/>
      <c r="AL435" s="107"/>
      <c r="AM435" s="107"/>
      <c r="AN435" s="107"/>
      <c r="AO435" s="107"/>
      <c r="AP435" s="107"/>
      <c r="AQ435" s="107"/>
      <c r="AR435" s="107"/>
      <c r="AS435" s="107"/>
      <c r="AT435" s="107"/>
      <c r="AU435" s="107"/>
      <c r="AV435" s="107"/>
      <c r="AW435" s="107"/>
      <c r="AX435" s="107"/>
      <c r="AY435" s="107"/>
      <c r="AZ435" s="107"/>
      <c r="BA435" s="107"/>
      <c r="BB435" s="107"/>
    </row>
    <row r="436" spans="1:54" ht="15" x14ac:dyDescent="0.25">
      <c r="A436" s="143" t="s">
        <v>419</v>
      </c>
      <c r="B436" s="23"/>
      <c r="C436" s="8">
        <v>1</v>
      </c>
      <c r="D436" s="8"/>
      <c r="E436" s="107"/>
      <c r="F436" s="137"/>
      <c r="G436" s="107"/>
      <c r="H436" s="107"/>
      <c r="I436" s="107"/>
      <c r="J436" s="107"/>
      <c r="K436" s="107"/>
      <c r="L436" s="107"/>
      <c r="M436" s="107"/>
      <c r="N436" s="107"/>
      <c r="O436" s="107"/>
      <c r="P436" s="107"/>
      <c r="Q436" s="107"/>
      <c r="R436" s="107"/>
      <c r="S436" s="107"/>
      <c r="T436" s="107"/>
      <c r="U436" s="107"/>
      <c r="V436" s="107"/>
      <c r="W436" s="107"/>
      <c r="X436" s="107"/>
      <c r="Y436" s="107"/>
      <c r="Z436" s="107"/>
      <c r="AA436" s="107"/>
      <c r="AB436" s="107"/>
      <c r="AC436" s="107"/>
      <c r="AD436" s="107"/>
      <c r="AE436" s="107"/>
      <c r="AF436" s="107"/>
      <c r="AG436" s="107"/>
      <c r="AH436" s="107"/>
      <c r="AI436" s="107"/>
      <c r="AJ436" s="107"/>
      <c r="AK436" s="107"/>
      <c r="AL436" s="107"/>
      <c r="AM436" s="107"/>
      <c r="AN436" s="107"/>
      <c r="AO436" s="107"/>
      <c r="AP436" s="107"/>
      <c r="AQ436" s="107"/>
      <c r="AR436" s="107"/>
      <c r="AS436" s="107"/>
      <c r="AT436" s="107"/>
      <c r="AU436" s="107"/>
      <c r="AV436" s="107"/>
      <c r="AW436" s="107"/>
      <c r="AX436" s="107"/>
      <c r="AY436" s="107"/>
      <c r="AZ436" s="107"/>
      <c r="BA436" s="107"/>
      <c r="BB436" s="107"/>
    </row>
    <row r="437" spans="1:54" ht="15" x14ac:dyDescent="0.25">
      <c r="A437" s="143" t="s">
        <v>465</v>
      </c>
      <c r="B437" s="23">
        <v>1</v>
      </c>
      <c r="C437" s="8"/>
      <c r="D437" s="8"/>
      <c r="E437" s="107"/>
      <c r="F437" s="137"/>
      <c r="G437" s="107"/>
      <c r="H437" s="107"/>
      <c r="I437" s="107"/>
      <c r="J437" s="107"/>
      <c r="K437" s="107"/>
      <c r="L437" s="107"/>
      <c r="M437" s="107"/>
      <c r="N437" s="107"/>
      <c r="O437" s="107"/>
      <c r="P437" s="107"/>
      <c r="Q437" s="107"/>
      <c r="R437" s="107"/>
      <c r="S437" s="107"/>
      <c r="T437" s="107"/>
      <c r="U437" s="107"/>
      <c r="V437" s="107"/>
      <c r="W437" s="107"/>
      <c r="X437" s="107"/>
      <c r="Y437" s="107"/>
      <c r="Z437" s="107"/>
      <c r="AA437" s="107"/>
      <c r="AB437" s="107"/>
      <c r="AC437" s="107"/>
      <c r="AD437" s="107"/>
      <c r="AE437" s="107"/>
      <c r="AF437" s="107"/>
      <c r="AG437" s="107"/>
      <c r="AH437" s="107"/>
      <c r="AI437" s="107"/>
      <c r="AJ437" s="107"/>
      <c r="AK437" s="107"/>
      <c r="AL437" s="107"/>
      <c r="AM437" s="107"/>
      <c r="AN437" s="107"/>
      <c r="AO437" s="107"/>
      <c r="AP437" s="107"/>
      <c r="AQ437" s="107"/>
      <c r="AR437" s="107"/>
      <c r="AS437" s="107"/>
      <c r="AT437" s="107"/>
      <c r="AU437" s="107"/>
      <c r="AV437" s="107"/>
      <c r="AW437" s="107"/>
      <c r="AX437" s="107"/>
      <c r="AY437" s="107"/>
      <c r="AZ437" s="107"/>
      <c r="BA437" s="107"/>
      <c r="BB437" s="107"/>
    </row>
    <row r="438" spans="1:54" ht="15" x14ac:dyDescent="0.25">
      <c r="A438" s="143" t="s">
        <v>426</v>
      </c>
      <c r="B438" s="23">
        <v>1</v>
      </c>
      <c r="C438" s="8">
        <v>3</v>
      </c>
      <c r="D438" s="8"/>
      <c r="E438" s="107"/>
      <c r="F438" s="137"/>
      <c r="G438" s="107"/>
      <c r="H438" s="107"/>
      <c r="I438" s="107"/>
      <c r="J438" s="107"/>
      <c r="K438" s="107"/>
      <c r="L438" s="107"/>
      <c r="M438" s="107"/>
      <c r="N438" s="107"/>
      <c r="O438" s="107"/>
      <c r="P438" s="107"/>
      <c r="Q438" s="107"/>
      <c r="R438" s="107"/>
      <c r="S438" s="107"/>
      <c r="T438" s="107"/>
      <c r="U438" s="107"/>
      <c r="V438" s="107"/>
      <c r="W438" s="107"/>
      <c r="X438" s="107"/>
      <c r="Y438" s="107"/>
      <c r="Z438" s="107"/>
      <c r="AA438" s="107"/>
      <c r="AB438" s="107"/>
      <c r="AC438" s="107"/>
      <c r="AD438" s="107"/>
      <c r="AE438" s="107"/>
      <c r="AF438" s="107"/>
      <c r="AG438" s="107"/>
      <c r="AH438" s="107"/>
      <c r="AI438" s="107"/>
      <c r="AJ438" s="107"/>
      <c r="AK438" s="107"/>
      <c r="AL438" s="107"/>
      <c r="AM438" s="107"/>
      <c r="AN438" s="107"/>
      <c r="AO438" s="107"/>
      <c r="AP438" s="107"/>
      <c r="AQ438" s="107"/>
      <c r="AR438" s="107"/>
      <c r="AS438" s="107"/>
      <c r="AT438" s="107"/>
      <c r="AU438" s="107"/>
      <c r="AV438" s="107"/>
      <c r="AW438" s="107"/>
      <c r="AX438" s="107"/>
      <c r="AY438" s="107"/>
      <c r="AZ438" s="107"/>
      <c r="BA438" s="107"/>
      <c r="BB438" s="107"/>
    </row>
    <row r="439" spans="1:54" ht="15" x14ac:dyDescent="0.25">
      <c r="A439" s="143" t="s">
        <v>463</v>
      </c>
      <c r="B439" s="23"/>
      <c r="C439" s="8">
        <v>1</v>
      </c>
      <c r="D439" s="8"/>
      <c r="E439" s="107"/>
      <c r="F439" s="137"/>
      <c r="G439" s="107"/>
      <c r="H439" s="107"/>
      <c r="I439" s="107"/>
      <c r="J439" s="107"/>
      <c r="K439" s="107"/>
      <c r="L439" s="107"/>
      <c r="M439" s="107"/>
      <c r="N439" s="107"/>
      <c r="O439" s="107"/>
      <c r="P439" s="107"/>
      <c r="Q439" s="107"/>
      <c r="R439" s="107"/>
      <c r="S439" s="107"/>
      <c r="T439" s="107"/>
      <c r="U439" s="107"/>
      <c r="V439" s="107"/>
      <c r="W439" s="107"/>
      <c r="X439" s="107"/>
      <c r="Y439" s="107"/>
      <c r="Z439" s="107"/>
      <c r="AA439" s="107"/>
      <c r="AB439" s="107"/>
      <c r="AC439" s="107"/>
      <c r="AD439" s="107"/>
      <c r="AE439" s="107"/>
      <c r="AF439" s="107"/>
      <c r="AG439" s="107"/>
      <c r="AH439" s="107"/>
      <c r="AI439" s="107"/>
      <c r="AJ439" s="107"/>
      <c r="AK439" s="107"/>
      <c r="AL439" s="107"/>
      <c r="AM439" s="107"/>
      <c r="AN439" s="107"/>
      <c r="AO439" s="107"/>
      <c r="AP439" s="107"/>
      <c r="AQ439" s="107"/>
      <c r="AR439" s="107"/>
      <c r="AS439" s="107"/>
      <c r="AT439" s="107"/>
      <c r="AU439" s="107"/>
      <c r="AV439" s="107"/>
      <c r="AW439" s="107"/>
      <c r="AX439" s="107"/>
      <c r="AY439" s="107"/>
      <c r="AZ439" s="107"/>
      <c r="BA439" s="107"/>
      <c r="BB439" s="107"/>
    </row>
    <row r="440" spans="1:54" ht="15" x14ac:dyDescent="0.25">
      <c r="A440" s="143" t="s">
        <v>570</v>
      </c>
      <c r="B440" s="23"/>
      <c r="C440" s="8">
        <v>1</v>
      </c>
      <c r="D440" s="8"/>
      <c r="E440" s="107"/>
      <c r="F440" s="137"/>
      <c r="G440" s="107"/>
      <c r="H440" s="107"/>
      <c r="I440" s="107"/>
      <c r="J440" s="107"/>
      <c r="K440" s="107"/>
      <c r="L440" s="107"/>
      <c r="M440" s="107"/>
      <c r="N440" s="107"/>
      <c r="O440" s="107"/>
      <c r="P440" s="107"/>
      <c r="Q440" s="107"/>
      <c r="R440" s="107"/>
      <c r="S440" s="107"/>
      <c r="T440" s="107"/>
      <c r="U440" s="107"/>
      <c r="V440" s="107"/>
      <c r="W440" s="107"/>
      <c r="X440" s="107"/>
      <c r="Y440" s="107"/>
      <c r="Z440" s="107"/>
      <c r="AA440" s="107"/>
      <c r="AB440" s="107"/>
      <c r="AC440" s="107"/>
      <c r="AD440" s="107"/>
      <c r="AE440" s="107"/>
      <c r="AF440" s="107"/>
      <c r="AG440" s="107"/>
      <c r="AH440" s="107"/>
      <c r="AI440" s="107"/>
      <c r="AJ440" s="107"/>
      <c r="AK440" s="107"/>
      <c r="AL440" s="107"/>
      <c r="AM440" s="107"/>
      <c r="AN440" s="107"/>
      <c r="AO440" s="107"/>
      <c r="AP440" s="107"/>
      <c r="AQ440" s="107"/>
      <c r="AR440" s="107"/>
      <c r="AS440" s="107"/>
      <c r="AT440" s="107"/>
      <c r="AU440" s="107"/>
      <c r="AV440" s="107"/>
      <c r="AW440" s="107"/>
      <c r="AX440" s="107"/>
      <c r="AY440" s="107"/>
      <c r="AZ440" s="107"/>
      <c r="BA440" s="107"/>
      <c r="BB440" s="107"/>
    </row>
    <row r="441" spans="1:54" ht="15" x14ac:dyDescent="0.25">
      <c r="A441" s="143" t="s">
        <v>536</v>
      </c>
      <c r="B441" s="23">
        <v>50</v>
      </c>
      <c r="C441" s="8"/>
      <c r="D441" s="8"/>
      <c r="E441" s="107"/>
      <c r="F441" s="137"/>
      <c r="G441" s="107"/>
      <c r="H441" s="107"/>
      <c r="I441" s="107"/>
      <c r="J441" s="107"/>
      <c r="K441" s="107"/>
      <c r="L441" s="107"/>
      <c r="M441" s="107"/>
      <c r="N441" s="107"/>
      <c r="O441" s="107"/>
      <c r="P441" s="107"/>
      <c r="Q441" s="107"/>
      <c r="R441" s="107"/>
      <c r="S441" s="107"/>
      <c r="T441" s="107"/>
      <c r="U441" s="107"/>
      <c r="V441" s="107"/>
      <c r="W441" s="107"/>
      <c r="X441" s="107"/>
      <c r="Y441" s="107"/>
      <c r="Z441" s="107"/>
      <c r="AA441" s="107"/>
      <c r="AB441" s="107"/>
      <c r="AC441" s="107"/>
      <c r="AD441" s="107"/>
      <c r="AE441" s="107"/>
      <c r="AF441" s="107"/>
      <c r="AG441" s="107"/>
      <c r="AH441" s="107"/>
      <c r="AI441" s="107"/>
      <c r="AJ441" s="107"/>
      <c r="AK441" s="107"/>
      <c r="AL441" s="107"/>
      <c r="AM441" s="107"/>
      <c r="AN441" s="107"/>
      <c r="AO441" s="107"/>
      <c r="AP441" s="107"/>
      <c r="AQ441" s="107"/>
      <c r="AR441" s="107"/>
      <c r="AS441" s="107"/>
      <c r="AT441" s="107"/>
      <c r="AU441" s="107"/>
      <c r="AV441" s="107"/>
      <c r="AW441" s="107"/>
      <c r="AX441" s="107"/>
      <c r="AY441" s="107"/>
      <c r="AZ441" s="107"/>
      <c r="BA441" s="107"/>
      <c r="BB441" s="107"/>
    </row>
    <row r="442" spans="1:54" ht="15" x14ac:dyDescent="0.25">
      <c r="A442" s="143" t="s">
        <v>394</v>
      </c>
      <c r="B442" s="23">
        <v>6</v>
      </c>
      <c r="C442" s="8"/>
      <c r="D442" s="8"/>
      <c r="E442" s="107"/>
      <c r="F442" s="137"/>
      <c r="G442" s="107"/>
      <c r="H442" s="107"/>
      <c r="I442" s="107"/>
      <c r="J442" s="107"/>
      <c r="K442" s="107"/>
      <c r="L442" s="107"/>
      <c r="M442" s="107"/>
      <c r="N442" s="107"/>
      <c r="O442" s="107"/>
      <c r="P442" s="107"/>
      <c r="Q442" s="107"/>
      <c r="R442" s="107"/>
      <c r="S442" s="107"/>
      <c r="T442" s="107"/>
      <c r="U442" s="107"/>
      <c r="V442" s="107"/>
      <c r="W442" s="107"/>
      <c r="X442" s="107"/>
      <c r="Y442" s="107"/>
      <c r="Z442" s="107"/>
      <c r="AA442" s="107"/>
      <c r="AB442" s="107"/>
      <c r="AC442" s="107"/>
      <c r="AD442" s="107"/>
      <c r="AE442" s="107"/>
      <c r="AF442" s="107"/>
      <c r="AG442" s="107"/>
      <c r="AH442" s="107"/>
      <c r="AI442" s="107"/>
      <c r="AJ442" s="107"/>
      <c r="AK442" s="107"/>
      <c r="AL442" s="107"/>
      <c r="AM442" s="107"/>
      <c r="AN442" s="107"/>
      <c r="AO442" s="107"/>
      <c r="AP442" s="107"/>
      <c r="AQ442" s="107"/>
      <c r="AR442" s="107"/>
      <c r="AS442" s="107"/>
      <c r="AT442" s="107"/>
      <c r="AU442" s="107"/>
      <c r="AV442" s="107"/>
      <c r="AW442" s="107"/>
      <c r="AX442" s="107"/>
      <c r="AY442" s="107"/>
      <c r="AZ442" s="107"/>
      <c r="BA442" s="107"/>
      <c r="BB442" s="107"/>
    </row>
    <row r="443" spans="1:54" ht="15" x14ac:dyDescent="0.25">
      <c r="A443" s="143" t="s">
        <v>393</v>
      </c>
      <c r="B443" s="23"/>
      <c r="C443" s="8">
        <v>3</v>
      </c>
      <c r="D443" s="8"/>
      <c r="E443" s="107"/>
      <c r="F443" s="137"/>
      <c r="G443" s="107"/>
      <c r="H443" s="107"/>
      <c r="I443" s="107"/>
      <c r="J443" s="107"/>
      <c r="K443" s="107"/>
      <c r="L443" s="107"/>
      <c r="M443" s="107"/>
      <c r="N443" s="107"/>
      <c r="O443" s="107"/>
      <c r="P443" s="107"/>
      <c r="Q443" s="107"/>
      <c r="R443" s="107"/>
      <c r="S443" s="107"/>
      <c r="T443" s="107"/>
      <c r="U443" s="107"/>
      <c r="V443" s="107"/>
      <c r="W443" s="107"/>
      <c r="X443" s="107"/>
      <c r="Y443" s="107"/>
      <c r="Z443" s="107"/>
      <c r="AA443" s="107"/>
      <c r="AB443" s="107"/>
      <c r="AC443" s="107"/>
      <c r="AD443" s="107"/>
      <c r="AE443" s="107"/>
      <c r="AF443" s="107"/>
      <c r="AG443" s="107"/>
      <c r="AH443" s="107"/>
      <c r="AI443" s="107"/>
      <c r="AJ443" s="107"/>
      <c r="AK443" s="107"/>
      <c r="AL443" s="107"/>
      <c r="AM443" s="107"/>
      <c r="AN443" s="107"/>
      <c r="AO443" s="107"/>
      <c r="AP443" s="107"/>
      <c r="AQ443" s="107"/>
      <c r="AR443" s="107"/>
      <c r="AS443" s="107"/>
      <c r="AT443" s="107"/>
      <c r="AU443" s="107"/>
      <c r="AV443" s="107"/>
      <c r="AW443" s="107"/>
      <c r="AX443" s="107"/>
      <c r="AY443" s="107"/>
      <c r="AZ443" s="107"/>
      <c r="BA443" s="107"/>
      <c r="BB443" s="107"/>
    </row>
    <row r="444" spans="1:54" ht="15" x14ac:dyDescent="0.25">
      <c r="A444" s="143"/>
      <c r="B444" s="23"/>
      <c r="C444" s="8"/>
      <c r="D444" s="8"/>
      <c r="E444" s="107"/>
      <c r="F444" s="137"/>
      <c r="G444" s="107"/>
      <c r="H444" s="107"/>
      <c r="I444" s="107"/>
      <c r="J444" s="107"/>
      <c r="K444" s="107"/>
      <c r="L444" s="107"/>
      <c r="M444" s="107"/>
      <c r="N444" s="107"/>
      <c r="O444" s="107"/>
      <c r="P444" s="107"/>
      <c r="Q444" s="107"/>
      <c r="R444" s="107"/>
      <c r="S444" s="107"/>
      <c r="T444" s="107"/>
      <c r="U444" s="107"/>
      <c r="V444" s="107"/>
      <c r="W444" s="107"/>
      <c r="X444" s="107"/>
      <c r="Y444" s="107"/>
      <c r="Z444" s="107"/>
      <c r="AA444" s="107"/>
      <c r="AB444" s="107"/>
      <c r="AC444" s="107"/>
      <c r="AD444" s="107"/>
      <c r="AE444" s="107"/>
      <c r="AF444" s="107"/>
      <c r="AG444" s="107"/>
      <c r="AH444" s="107"/>
      <c r="AI444" s="107"/>
      <c r="AJ444" s="107"/>
      <c r="AK444" s="107"/>
      <c r="AL444" s="107"/>
      <c r="AM444" s="107"/>
      <c r="AN444" s="107"/>
      <c r="AO444" s="107"/>
      <c r="AP444" s="107"/>
      <c r="AQ444" s="107"/>
      <c r="AR444" s="107"/>
      <c r="AS444" s="107"/>
      <c r="AT444" s="107"/>
      <c r="AU444" s="107"/>
      <c r="AV444" s="107"/>
      <c r="AW444" s="107"/>
      <c r="AX444" s="107"/>
      <c r="AY444" s="107"/>
      <c r="AZ444" s="107"/>
      <c r="BA444" s="107"/>
      <c r="BB444" s="107"/>
    </row>
    <row r="445" spans="1:54" ht="15" x14ac:dyDescent="0.25">
      <c r="A445" s="143"/>
      <c r="B445" s="23"/>
      <c r="C445" s="8"/>
      <c r="D445" s="8"/>
      <c r="E445" s="107"/>
      <c r="F445" s="137"/>
      <c r="G445" s="107"/>
      <c r="H445" s="107"/>
      <c r="I445" s="107"/>
      <c r="J445" s="107"/>
      <c r="K445" s="107"/>
      <c r="L445" s="107"/>
      <c r="M445" s="107"/>
      <c r="N445" s="107"/>
      <c r="O445" s="107"/>
      <c r="P445" s="107"/>
      <c r="Q445" s="107"/>
      <c r="R445" s="107"/>
      <c r="S445" s="107"/>
      <c r="T445" s="107"/>
      <c r="U445" s="107"/>
      <c r="V445" s="107"/>
      <c r="W445" s="107"/>
      <c r="X445" s="107"/>
      <c r="Y445" s="107"/>
      <c r="Z445" s="107"/>
      <c r="AA445" s="107"/>
      <c r="AB445" s="107"/>
      <c r="AC445" s="107"/>
      <c r="AD445" s="107"/>
      <c r="AE445" s="107"/>
      <c r="AF445" s="107"/>
      <c r="AG445" s="107"/>
      <c r="AH445" s="107"/>
      <c r="AI445" s="107"/>
      <c r="AJ445" s="107"/>
      <c r="AK445" s="107"/>
      <c r="AL445" s="107"/>
      <c r="AM445" s="107"/>
      <c r="AN445" s="107"/>
      <c r="AO445" s="107"/>
      <c r="AP445" s="107"/>
      <c r="AQ445" s="107"/>
      <c r="AR445" s="107"/>
      <c r="AS445" s="107"/>
      <c r="AT445" s="107"/>
      <c r="AU445" s="107"/>
      <c r="AV445" s="107"/>
      <c r="AW445" s="107"/>
      <c r="AX445" s="107"/>
      <c r="AY445" s="107"/>
      <c r="AZ445" s="107"/>
      <c r="BA445" s="107"/>
      <c r="BB445" s="107"/>
    </row>
    <row r="446" spans="1:54" ht="15" x14ac:dyDescent="0.25">
      <c r="A446" s="143"/>
      <c r="B446" s="23"/>
      <c r="C446" s="8"/>
      <c r="D446" s="8"/>
      <c r="E446" s="107"/>
      <c r="F446" s="137"/>
      <c r="G446" s="107"/>
      <c r="H446" s="107"/>
      <c r="I446" s="107"/>
      <c r="J446" s="107"/>
      <c r="K446" s="107"/>
      <c r="L446" s="107"/>
      <c r="M446" s="107"/>
      <c r="N446" s="107"/>
      <c r="O446" s="107"/>
      <c r="P446" s="107"/>
      <c r="Q446" s="107"/>
      <c r="R446" s="107"/>
      <c r="S446" s="107"/>
      <c r="T446" s="107"/>
      <c r="U446" s="107"/>
      <c r="V446" s="107"/>
      <c r="W446" s="107"/>
      <c r="X446" s="107"/>
      <c r="Y446" s="107"/>
      <c r="Z446" s="107"/>
      <c r="AA446" s="107"/>
      <c r="AB446" s="107"/>
      <c r="AC446" s="107"/>
      <c r="AD446" s="107"/>
      <c r="AE446" s="107"/>
      <c r="AF446" s="107"/>
      <c r="AG446" s="107"/>
      <c r="AH446" s="107"/>
      <c r="AI446" s="107"/>
      <c r="AJ446" s="107"/>
      <c r="AK446" s="107"/>
      <c r="AL446" s="107"/>
      <c r="AM446" s="107"/>
      <c r="AN446" s="107"/>
      <c r="AO446" s="107"/>
      <c r="AP446" s="107"/>
      <c r="AQ446" s="107"/>
      <c r="AR446" s="107"/>
      <c r="AS446" s="107"/>
      <c r="AT446" s="107"/>
      <c r="AU446" s="107"/>
      <c r="AV446" s="107"/>
      <c r="AW446" s="107"/>
      <c r="AX446" s="107"/>
      <c r="AY446" s="107"/>
      <c r="AZ446" s="107"/>
      <c r="BA446" s="107"/>
      <c r="BB446" s="107"/>
    </row>
    <row r="447" spans="1:54" ht="15" x14ac:dyDescent="0.25">
      <c r="A447" s="143"/>
      <c r="B447" s="23"/>
      <c r="C447" s="8"/>
      <c r="D447" s="8"/>
      <c r="E447" s="107"/>
      <c r="F447" s="137"/>
      <c r="G447" s="107"/>
      <c r="H447" s="107"/>
      <c r="I447" s="107"/>
      <c r="J447" s="107"/>
      <c r="K447" s="107"/>
      <c r="L447" s="107"/>
      <c r="M447" s="107"/>
      <c r="N447" s="107"/>
      <c r="O447" s="107"/>
      <c r="P447" s="107"/>
      <c r="Q447" s="107"/>
      <c r="R447" s="107"/>
      <c r="S447" s="107"/>
      <c r="T447" s="107"/>
      <c r="U447" s="107"/>
      <c r="V447" s="107"/>
      <c r="W447" s="107"/>
      <c r="X447" s="107"/>
      <c r="Y447" s="107"/>
      <c r="Z447" s="107"/>
      <c r="AA447" s="107"/>
      <c r="AB447" s="107"/>
      <c r="AC447" s="107"/>
      <c r="AD447" s="107"/>
      <c r="AE447" s="107"/>
      <c r="AF447" s="107"/>
      <c r="AG447" s="107"/>
      <c r="AH447" s="107"/>
      <c r="AI447" s="107"/>
      <c r="AJ447" s="107"/>
      <c r="AK447" s="107"/>
      <c r="AL447" s="107"/>
      <c r="AM447" s="107"/>
      <c r="AN447" s="107"/>
      <c r="AO447" s="107"/>
      <c r="AP447" s="107"/>
      <c r="AQ447" s="107"/>
      <c r="AR447" s="107"/>
      <c r="AS447" s="107"/>
      <c r="AT447" s="107"/>
      <c r="AU447" s="107"/>
      <c r="AV447" s="107"/>
      <c r="AW447" s="107"/>
      <c r="AX447" s="107"/>
      <c r="AY447" s="107"/>
      <c r="AZ447" s="107"/>
      <c r="BA447" s="107"/>
      <c r="BB447" s="107"/>
    </row>
    <row r="448" spans="1:54" ht="15" x14ac:dyDescent="0.25">
      <c r="A448" s="143"/>
      <c r="B448" s="23"/>
      <c r="C448" s="8"/>
      <c r="D448" s="8"/>
      <c r="E448" s="107"/>
      <c r="F448" s="137"/>
      <c r="G448" s="107"/>
      <c r="H448" s="107"/>
      <c r="I448" s="107"/>
      <c r="J448" s="107"/>
      <c r="K448" s="107"/>
      <c r="L448" s="107"/>
      <c r="M448" s="107"/>
      <c r="N448" s="107"/>
      <c r="O448" s="107"/>
      <c r="P448" s="107"/>
      <c r="Q448" s="107"/>
      <c r="R448" s="107"/>
      <c r="S448" s="107"/>
      <c r="T448" s="107"/>
      <c r="U448" s="107"/>
      <c r="V448" s="107"/>
      <c r="W448" s="107"/>
      <c r="X448" s="107"/>
      <c r="Y448" s="107"/>
      <c r="Z448" s="107"/>
      <c r="AA448" s="107"/>
      <c r="AB448" s="107"/>
      <c r="AC448" s="107"/>
      <c r="AD448" s="107"/>
      <c r="AE448" s="107"/>
      <c r="AF448" s="107"/>
      <c r="AG448" s="107"/>
      <c r="AH448" s="107"/>
      <c r="AI448" s="107"/>
      <c r="AJ448" s="107"/>
      <c r="AK448" s="107"/>
      <c r="AL448" s="107"/>
      <c r="AM448" s="107"/>
      <c r="AN448" s="107"/>
      <c r="AO448" s="107"/>
      <c r="AP448" s="107"/>
      <c r="AQ448" s="107"/>
      <c r="AR448" s="107"/>
      <c r="AS448" s="107"/>
      <c r="AT448" s="107"/>
      <c r="AU448" s="107"/>
      <c r="AV448" s="107"/>
      <c r="AW448" s="107"/>
      <c r="AX448" s="107"/>
      <c r="AY448" s="107"/>
      <c r="AZ448" s="107"/>
      <c r="BA448" s="107"/>
      <c r="BB448" s="107"/>
    </row>
    <row r="449" spans="1:54" ht="17.399999999999999" x14ac:dyDescent="0.3">
      <c r="A449" s="148" t="s">
        <v>811</v>
      </c>
      <c r="B449" s="70"/>
      <c r="C449" s="8"/>
      <c r="D449" s="8"/>
      <c r="E449" s="107"/>
      <c r="F449" s="137"/>
      <c r="G449" s="107"/>
      <c r="H449" s="107"/>
      <c r="I449" s="107"/>
      <c r="J449" s="107"/>
      <c r="K449" s="107"/>
      <c r="L449" s="107"/>
      <c r="M449" s="107"/>
      <c r="N449" s="107"/>
      <c r="O449" s="107"/>
      <c r="P449" s="107"/>
      <c r="Q449" s="107"/>
      <c r="R449" s="107"/>
      <c r="S449" s="107"/>
      <c r="T449" s="107"/>
      <c r="U449" s="107"/>
      <c r="V449" s="107"/>
      <c r="W449" s="107"/>
      <c r="X449" s="107"/>
      <c r="Y449" s="107"/>
      <c r="Z449" s="107"/>
      <c r="AA449" s="107"/>
      <c r="AB449" s="107"/>
      <c r="AC449" s="107"/>
      <c r="AD449" s="107"/>
      <c r="AE449" s="107"/>
      <c r="AF449" s="107"/>
      <c r="AG449" s="107"/>
      <c r="AH449" s="107"/>
      <c r="AI449" s="107"/>
      <c r="AJ449" s="107"/>
      <c r="AK449" s="107"/>
      <c r="AL449" s="107"/>
      <c r="AM449" s="107"/>
      <c r="AN449" s="107"/>
      <c r="AO449" s="107"/>
      <c r="AP449" s="107"/>
      <c r="AQ449" s="107"/>
      <c r="AR449" s="107"/>
      <c r="AS449" s="107"/>
      <c r="AT449" s="107"/>
      <c r="AU449" s="107"/>
      <c r="AV449" s="107"/>
      <c r="AW449" s="107"/>
      <c r="AX449" s="107"/>
      <c r="AY449" s="107"/>
      <c r="AZ449" s="107"/>
      <c r="BA449" s="107"/>
      <c r="BB449" s="107"/>
    </row>
    <row r="450" spans="1:54" ht="15" x14ac:dyDescent="0.25">
      <c r="A450" s="143" t="s">
        <v>449</v>
      </c>
      <c r="B450" s="23">
        <v>2</v>
      </c>
      <c r="C450" s="8">
        <v>1</v>
      </c>
      <c r="D450" s="8"/>
      <c r="E450" s="91"/>
      <c r="F450" s="91"/>
      <c r="G450" s="107"/>
      <c r="H450" s="107"/>
      <c r="I450" s="107"/>
      <c r="J450" s="107"/>
      <c r="K450" s="107"/>
      <c r="L450" s="107"/>
      <c r="M450" s="107"/>
      <c r="N450" s="107"/>
      <c r="O450" s="107"/>
      <c r="P450" s="107"/>
      <c r="Q450" s="107"/>
      <c r="R450" s="107"/>
      <c r="S450" s="107"/>
      <c r="T450" s="107"/>
      <c r="U450" s="107"/>
      <c r="V450" s="107"/>
      <c r="W450" s="107"/>
      <c r="X450" s="107"/>
      <c r="Y450" s="107"/>
      <c r="Z450" s="107"/>
      <c r="AA450" s="107"/>
      <c r="AB450" s="107"/>
      <c r="AC450" s="107"/>
      <c r="AD450" s="107"/>
      <c r="AE450" s="107"/>
      <c r="AF450" s="107"/>
      <c r="AG450" s="107"/>
      <c r="AH450" s="107"/>
      <c r="AI450" s="107"/>
      <c r="AJ450" s="107"/>
      <c r="AK450" s="107"/>
      <c r="AL450" s="107"/>
      <c r="AM450" s="107"/>
      <c r="AN450" s="107"/>
      <c r="AO450" s="107"/>
      <c r="AP450" s="107"/>
      <c r="AQ450" s="107"/>
      <c r="AR450" s="107"/>
      <c r="AS450" s="107"/>
      <c r="AT450" s="107"/>
      <c r="AU450" s="107"/>
      <c r="AV450" s="107"/>
      <c r="AW450" s="107"/>
      <c r="AX450" s="107"/>
      <c r="AY450" s="107"/>
      <c r="AZ450" s="107"/>
      <c r="BA450" s="107"/>
      <c r="BB450" s="107"/>
    </row>
    <row r="451" spans="1:54" ht="15" x14ac:dyDescent="0.25">
      <c r="A451" s="143" t="s">
        <v>451</v>
      </c>
      <c r="B451" s="23">
        <v>3</v>
      </c>
      <c r="C451" s="8">
        <v>1</v>
      </c>
      <c r="D451" s="8"/>
      <c r="E451" s="91"/>
      <c r="F451" s="91"/>
      <c r="G451" s="107"/>
      <c r="H451" s="107"/>
      <c r="I451" s="107"/>
      <c r="J451" s="107"/>
      <c r="K451" s="107"/>
      <c r="L451" s="107"/>
      <c r="M451" s="107"/>
      <c r="N451" s="107"/>
      <c r="O451" s="107"/>
      <c r="P451" s="107"/>
      <c r="Q451" s="107"/>
      <c r="R451" s="107"/>
      <c r="S451" s="107"/>
      <c r="T451" s="107"/>
      <c r="U451" s="107"/>
      <c r="V451" s="107"/>
      <c r="W451" s="107"/>
      <c r="X451" s="107"/>
      <c r="Y451" s="107"/>
      <c r="Z451" s="107"/>
      <c r="AA451" s="107"/>
      <c r="AB451" s="107"/>
      <c r="AC451" s="107"/>
      <c r="AD451" s="107"/>
      <c r="AE451" s="107"/>
      <c r="AF451" s="107"/>
      <c r="AG451" s="107"/>
      <c r="AH451" s="107"/>
      <c r="AI451" s="107"/>
      <c r="AJ451" s="107"/>
      <c r="AK451" s="107"/>
      <c r="AL451" s="107"/>
      <c r="AM451" s="107"/>
      <c r="AN451" s="107"/>
      <c r="AO451" s="107"/>
      <c r="AP451" s="107"/>
      <c r="AQ451" s="107"/>
      <c r="AR451" s="107"/>
      <c r="AS451" s="107"/>
      <c r="AT451" s="107"/>
      <c r="AU451" s="107"/>
      <c r="AV451" s="107"/>
      <c r="AW451" s="107"/>
      <c r="AX451" s="107"/>
      <c r="AY451" s="107"/>
      <c r="AZ451" s="107"/>
      <c r="BA451" s="107"/>
      <c r="BB451" s="107"/>
    </row>
    <row r="452" spans="1:54" ht="15" x14ac:dyDescent="0.25">
      <c r="A452" s="143" t="s">
        <v>453</v>
      </c>
      <c r="B452" s="23">
        <v>2</v>
      </c>
      <c r="C452" s="8">
        <v>1</v>
      </c>
      <c r="D452" s="8"/>
      <c r="E452" s="91"/>
      <c r="F452" s="91"/>
      <c r="G452" s="107"/>
      <c r="H452" s="107"/>
      <c r="I452" s="107"/>
      <c r="J452" s="107"/>
      <c r="K452" s="107"/>
      <c r="L452" s="107"/>
      <c r="M452" s="107"/>
      <c r="N452" s="107"/>
      <c r="O452" s="107"/>
      <c r="P452" s="107"/>
      <c r="Q452" s="107"/>
      <c r="R452" s="107"/>
      <c r="S452" s="107"/>
      <c r="T452" s="107"/>
      <c r="U452" s="107"/>
      <c r="V452" s="107"/>
      <c r="W452" s="107"/>
      <c r="X452" s="107"/>
      <c r="Y452" s="107"/>
      <c r="Z452" s="107"/>
      <c r="AA452" s="107"/>
      <c r="AB452" s="107"/>
      <c r="AC452" s="107"/>
      <c r="AD452" s="107"/>
      <c r="AE452" s="107"/>
      <c r="AF452" s="107"/>
      <c r="AG452" s="107"/>
      <c r="AH452" s="107"/>
      <c r="AI452" s="107"/>
      <c r="AJ452" s="107"/>
      <c r="AK452" s="107"/>
      <c r="AL452" s="107"/>
      <c r="AM452" s="107"/>
      <c r="AN452" s="107"/>
      <c r="AO452" s="107"/>
      <c r="AP452" s="107"/>
      <c r="AQ452" s="107"/>
      <c r="AR452" s="107"/>
      <c r="AS452" s="107"/>
      <c r="AT452" s="107"/>
      <c r="AU452" s="107"/>
      <c r="AV452" s="107"/>
      <c r="AW452" s="107"/>
      <c r="AX452" s="107"/>
      <c r="AY452" s="107"/>
      <c r="AZ452" s="107"/>
      <c r="BA452" s="107"/>
      <c r="BB452" s="107"/>
    </row>
    <row r="453" spans="1:54" ht="15" x14ac:dyDescent="0.25">
      <c r="A453" s="143" t="s">
        <v>403</v>
      </c>
      <c r="B453" s="23">
        <v>2</v>
      </c>
      <c r="C453" s="8">
        <v>1</v>
      </c>
      <c r="D453" s="8"/>
      <c r="E453" s="91"/>
      <c r="F453" s="91"/>
      <c r="G453" s="107"/>
      <c r="H453" s="107"/>
      <c r="I453" s="107"/>
      <c r="J453" s="107"/>
      <c r="K453" s="107"/>
      <c r="L453" s="107"/>
      <c r="M453" s="107"/>
      <c r="N453" s="107"/>
      <c r="O453" s="107"/>
      <c r="P453" s="107"/>
      <c r="Q453" s="107"/>
      <c r="R453" s="107"/>
      <c r="S453" s="107"/>
      <c r="T453" s="107"/>
      <c r="U453" s="107"/>
      <c r="V453" s="107"/>
      <c r="W453" s="107"/>
      <c r="X453" s="107"/>
      <c r="Y453" s="107"/>
      <c r="Z453" s="107"/>
      <c r="AA453" s="107"/>
      <c r="AB453" s="107"/>
      <c r="AC453" s="107"/>
      <c r="AD453" s="107"/>
      <c r="AE453" s="107"/>
      <c r="AF453" s="107"/>
      <c r="AG453" s="107"/>
      <c r="AH453" s="107"/>
      <c r="AI453" s="107"/>
      <c r="AJ453" s="107"/>
      <c r="AK453" s="107"/>
      <c r="AL453" s="107"/>
      <c r="AM453" s="107"/>
      <c r="AN453" s="107"/>
      <c r="AO453" s="107"/>
      <c r="AP453" s="107"/>
      <c r="AQ453" s="107"/>
      <c r="AR453" s="107"/>
      <c r="AS453" s="107"/>
      <c r="AT453" s="107"/>
      <c r="AU453" s="107"/>
      <c r="AV453" s="107"/>
      <c r="AW453" s="107"/>
      <c r="AX453" s="107"/>
      <c r="AY453" s="107"/>
      <c r="AZ453" s="107"/>
      <c r="BA453" s="107"/>
      <c r="BB453" s="107"/>
    </row>
    <row r="454" spans="1:54" ht="15" x14ac:dyDescent="0.25">
      <c r="A454" s="143" t="s">
        <v>455</v>
      </c>
      <c r="B454" s="23">
        <v>1</v>
      </c>
      <c r="C454" s="8"/>
      <c r="D454" s="8"/>
      <c r="E454" s="91"/>
      <c r="F454" s="91"/>
      <c r="G454" s="107"/>
      <c r="H454" s="107"/>
      <c r="I454" s="107"/>
      <c r="J454" s="107"/>
      <c r="K454" s="107"/>
      <c r="L454" s="107"/>
      <c r="M454" s="107"/>
      <c r="N454" s="107"/>
      <c r="O454" s="107"/>
      <c r="P454" s="107"/>
      <c r="Q454" s="107"/>
      <c r="R454" s="107"/>
      <c r="S454" s="107"/>
      <c r="T454" s="107"/>
      <c r="U454" s="107"/>
      <c r="V454" s="107"/>
      <c r="W454" s="107"/>
      <c r="X454" s="107"/>
      <c r="Y454" s="107"/>
      <c r="Z454" s="107"/>
      <c r="AA454" s="107"/>
      <c r="AB454" s="107"/>
      <c r="AC454" s="107"/>
      <c r="AD454" s="107"/>
      <c r="AE454" s="107"/>
      <c r="AF454" s="107"/>
      <c r="AG454" s="107"/>
      <c r="AH454" s="107"/>
      <c r="AI454" s="107"/>
      <c r="AJ454" s="107"/>
      <c r="AK454" s="107"/>
      <c r="AL454" s="107"/>
      <c r="AM454" s="107"/>
      <c r="AN454" s="107"/>
      <c r="AO454" s="107"/>
      <c r="AP454" s="107"/>
      <c r="AQ454" s="107"/>
      <c r="AR454" s="107"/>
      <c r="AS454" s="107"/>
      <c r="AT454" s="107"/>
      <c r="AU454" s="107"/>
      <c r="AV454" s="107"/>
      <c r="AW454" s="107"/>
      <c r="AX454" s="107"/>
      <c r="AY454" s="107"/>
      <c r="AZ454" s="107"/>
      <c r="BA454" s="107"/>
      <c r="BB454" s="107"/>
    </row>
    <row r="455" spans="1:54" ht="15" x14ac:dyDescent="0.25">
      <c r="A455" s="143" t="s">
        <v>508</v>
      </c>
      <c r="B455" s="23">
        <v>1</v>
      </c>
      <c r="C455" s="8"/>
      <c r="D455" s="8"/>
      <c r="E455" s="91"/>
      <c r="F455" s="91"/>
      <c r="G455" s="107"/>
      <c r="H455" s="107"/>
      <c r="I455" s="107"/>
      <c r="J455" s="107"/>
      <c r="K455" s="107"/>
      <c r="L455" s="107"/>
      <c r="M455" s="107"/>
      <c r="N455" s="107"/>
      <c r="O455" s="107"/>
      <c r="P455" s="107"/>
      <c r="Q455" s="107"/>
      <c r="R455" s="107"/>
      <c r="S455" s="107"/>
      <c r="T455" s="107"/>
      <c r="U455" s="107"/>
      <c r="V455" s="107"/>
      <c r="W455" s="107"/>
      <c r="X455" s="107"/>
      <c r="Y455" s="107"/>
      <c r="Z455" s="107"/>
      <c r="AA455" s="107"/>
      <c r="AB455" s="107"/>
      <c r="AC455" s="107"/>
      <c r="AD455" s="107"/>
      <c r="AE455" s="107"/>
      <c r="AF455" s="107"/>
      <c r="AG455" s="107"/>
      <c r="AH455" s="107"/>
      <c r="AI455" s="107"/>
      <c r="AJ455" s="107"/>
      <c r="AK455" s="107"/>
      <c r="AL455" s="107"/>
      <c r="AM455" s="107"/>
      <c r="AN455" s="107"/>
      <c r="AO455" s="107"/>
      <c r="AP455" s="107"/>
      <c r="AQ455" s="107"/>
      <c r="AR455" s="107"/>
      <c r="AS455" s="107"/>
      <c r="AT455" s="107"/>
      <c r="AU455" s="107"/>
      <c r="AV455" s="107"/>
      <c r="AW455" s="107"/>
      <c r="AX455" s="107"/>
      <c r="AY455" s="107"/>
      <c r="AZ455" s="107"/>
      <c r="BA455" s="107"/>
      <c r="BB455" s="107"/>
    </row>
    <row r="456" spans="1:54" ht="15" x14ac:dyDescent="0.25">
      <c r="A456" s="143" t="s">
        <v>510</v>
      </c>
      <c r="B456" s="23">
        <v>1</v>
      </c>
      <c r="C456" s="8">
        <v>1</v>
      </c>
      <c r="D456" s="8"/>
      <c r="E456" s="91"/>
      <c r="F456" s="91"/>
      <c r="G456" s="107"/>
      <c r="H456" s="107"/>
      <c r="I456" s="107"/>
      <c r="J456" s="107"/>
      <c r="K456" s="107"/>
      <c r="L456" s="107"/>
      <c r="M456" s="107"/>
      <c r="N456" s="107"/>
      <c r="O456" s="107"/>
      <c r="P456" s="107"/>
      <c r="Q456" s="107"/>
      <c r="R456" s="107"/>
      <c r="S456" s="107"/>
      <c r="T456" s="107"/>
      <c r="U456" s="107"/>
      <c r="V456" s="107"/>
      <c r="W456" s="107"/>
      <c r="X456" s="107"/>
      <c r="Y456" s="107"/>
      <c r="Z456" s="107"/>
      <c r="AA456" s="107"/>
      <c r="AB456" s="107"/>
      <c r="AC456" s="107"/>
      <c r="AD456" s="107"/>
      <c r="AE456" s="107"/>
      <c r="AF456" s="107"/>
      <c r="AG456" s="107"/>
      <c r="AH456" s="107"/>
      <c r="AI456" s="107"/>
      <c r="AJ456" s="107"/>
      <c r="AK456" s="107"/>
      <c r="AL456" s="107"/>
      <c r="AM456" s="107"/>
      <c r="AN456" s="107"/>
      <c r="AO456" s="107"/>
      <c r="AP456" s="107"/>
      <c r="AQ456" s="107"/>
      <c r="AR456" s="107"/>
      <c r="AS456" s="107"/>
      <c r="AT456" s="107"/>
      <c r="AU456" s="107"/>
      <c r="AV456" s="107"/>
      <c r="AW456" s="107"/>
      <c r="AX456" s="107"/>
      <c r="AY456" s="107"/>
      <c r="AZ456" s="107"/>
      <c r="BA456" s="107"/>
      <c r="BB456" s="107"/>
    </row>
    <row r="457" spans="1:54" ht="15" x14ac:dyDescent="0.25">
      <c r="A457" s="143" t="s">
        <v>486</v>
      </c>
      <c r="B457" s="23">
        <v>15</v>
      </c>
      <c r="C457" s="8"/>
      <c r="D457" s="8"/>
      <c r="E457" s="91"/>
      <c r="F457" s="91"/>
      <c r="G457" s="107"/>
      <c r="H457" s="107"/>
      <c r="I457" s="107"/>
      <c r="J457" s="107"/>
      <c r="K457" s="107"/>
      <c r="L457" s="107"/>
      <c r="M457" s="107"/>
      <c r="N457" s="107"/>
      <c r="O457" s="107"/>
      <c r="P457" s="107"/>
      <c r="Q457" s="107"/>
      <c r="R457" s="107"/>
      <c r="S457" s="107"/>
      <c r="T457" s="107"/>
      <c r="U457" s="107"/>
      <c r="V457" s="107"/>
      <c r="W457" s="107"/>
      <c r="X457" s="107"/>
      <c r="Y457" s="107"/>
      <c r="Z457" s="107"/>
      <c r="AA457" s="107"/>
      <c r="AB457" s="107"/>
      <c r="AC457" s="107"/>
      <c r="AD457" s="107"/>
      <c r="AE457" s="107"/>
      <c r="AF457" s="107"/>
      <c r="AG457" s="107"/>
      <c r="AH457" s="107"/>
      <c r="AI457" s="107"/>
      <c r="AJ457" s="107"/>
      <c r="AK457" s="107"/>
      <c r="AL457" s="107"/>
      <c r="AM457" s="107"/>
      <c r="AN457" s="107"/>
      <c r="AO457" s="107"/>
      <c r="AP457" s="107"/>
      <c r="AQ457" s="107"/>
      <c r="AR457" s="107"/>
      <c r="AS457" s="107"/>
      <c r="AT457" s="107"/>
      <c r="AU457" s="107"/>
      <c r="AV457" s="107"/>
      <c r="AW457" s="107"/>
      <c r="AX457" s="107"/>
      <c r="AY457" s="107"/>
      <c r="AZ457" s="107"/>
      <c r="BA457" s="107"/>
      <c r="BB457" s="107"/>
    </row>
    <row r="458" spans="1:54" ht="15" x14ac:dyDescent="0.25">
      <c r="A458" s="143"/>
      <c r="B458" s="23"/>
      <c r="C458" s="8"/>
      <c r="D458" s="8"/>
      <c r="E458" s="91"/>
      <c r="F458" s="91"/>
      <c r="G458" s="107"/>
      <c r="H458" s="107"/>
      <c r="I458" s="107"/>
      <c r="J458" s="107"/>
      <c r="K458" s="107"/>
      <c r="L458" s="107"/>
      <c r="M458" s="107"/>
      <c r="N458" s="107"/>
      <c r="O458" s="107"/>
      <c r="P458" s="107"/>
      <c r="Q458" s="107"/>
      <c r="R458" s="107"/>
      <c r="S458" s="107"/>
      <c r="T458" s="107"/>
      <c r="U458" s="107"/>
      <c r="V458" s="107"/>
      <c r="W458" s="107"/>
      <c r="X458" s="107"/>
      <c r="Y458" s="107"/>
      <c r="Z458" s="107"/>
      <c r="AA458" s="107"/>
      <c r="AB458" s="107"/>
      <c r="AC458" s="107"/>
      <c r="AD458" s="107"/>
      <c r="AE458" s="107"/>
      <c r="AF458" s="107"/>
      <c r="AG458" s="107"/>
      <c r="AH458" s="107"/>
      <c r="AI458" s="107"/>
      <c r="AJ458" s="107"/>
      <c r="AK458" s="107"/>
      <c r="AL458" s="107"/>
      <c r="AM458" s="107"/>
      <c r="AN458" s="107"/>
      <c r="AO458" s="107"/>
      <c r="AP458" s="107"/>
      <c r="AQ458" s="107"/>
      <c r="AR458" s="107"/>
      <c r="AS458" s="107"/>
      <c r="AT458" s="107"/>
      <c r="AU458" s="107"/>
      <c r="AV458" s="107"/>
      <c r="AW458" s="107"/>
      <c r="AX458" s="107"/>
      <c r="AY458" s="107"/>
      <c r="AZ458" s="107"/>
      <c r="BA458" s="107"/>
      <c r="BB458" s="107"/>
    </row>
    <row r="459" spans="1:54" ht="15" x14ac:dyDescent="0.25">
      <c r="A459" s="143"/>
      <c r="B459" s="23"/>
      <c r="C459" s="8"/>
      <c r="D459" s="8"/>
      <c r="E459" s="91"/>
      <c r="F459" s="91"/>
      <c r="G459" s="107"/>
      <c r="H459" s="107"/>
      <c r="I459" s="107"/>
      <c r="J459" s="107"/>
      <c r="K459" s="107"/>
      <c r="L459" s="107"/>
      <c r="M459" s="107"/>
      <c r="N459" s="107"/>
      <c r="O459" s="107"/>
      <c r="P459" s="107"/>
      <c r="Q459" s="107"/>
      <c r="R459" s="107"/>
      <c r="S459" s="107"/>
      <c r="T459" s="107"/>
      <c r="U459" s="107"/>
      <c r="V459" s="107"/>
      <c r="W459" s="107"/>
      <c r="X459" s="107"/>
      <c r="Y459" s="107"/>
      <c r="Z459" s="107"/>
      <c r="AA459" s="107"/>
      <c r="AB459" s="107"/>
      <c r="AC459" s="107"/>
      <c r="AD459" s="107"/>
      <c r="AE459" s="107"/>
      <c r="AF459" s="107"/>
      <c r="AG459" s="107"/>
      <c r="AH459" s="107"/>
      <c r="AI459" s="107"/>
      <c r="AJ459" s="107"/>
      <c r="AK459" s="107"/>
      <c r="AL459" s="107"/>
      <c r="AM459" s="107"/>
      <c r="AN459" s="107"/>
      <c r="AO459" s="107"/>
      <c r="AP459" s="107"/>
      <c r="AQ459" s="107"/>
      <c r="AR459" s="107"/>
      <c r="AS459" s="107"/>
      <c r="AT459" s="107"/>
      <c r="AU459" s="107"/>
      <c r="AV459" s="107"/>
      <c r="AW459" s="107"/>
      <c r="AX459" s="107"/>
      <c r="AY459" s="107"/>
      <c r="AZ459" s="107"/>
      <c r="BA459" s="107"/>
      <c r="BB459" s="107"/>
    </row>
    <row r="460" spans="1:54" ht="15" x14ac:dyDescent="0.25">
      <c r="A460" s="143"/>
      <c r="B460" s="23"/>
      <c r="C460" s="8"/>
      <c r="D460" s="8"/>
      <c r="E460" s="91"/>
      <c r="F460" s="91"/>
      <c r="G460" s="107"/>
      <c r="H460" s="107"/>
      <c r="I460" s="107"/>
      <c r="J460" s="107"/>
      <c r="K460" s="107"/>
      <c r="L460" s="107"/>
      <c r="M460" s="107"/>
      <c r="N460" s="107"/>
      <c r="O460" s="107"/>
      <c r="P460" s="107"/>
      <c r="Q460" s="107"/>
      <c r="R460" s="107"/>
      <c r="S460" s="107"/>
      <c r="T460" s="107"/>
      <c r="U460" s="107"/>
      <c r="V460" s="107"/>
      <c r="W460" s="107"/>
      <c r="X460" s="107"/>
      <c r="Y460" s="107"/>
      <c r="Z460" s="107"/>
      <c r="AA460" s="107"/>
      <c r="AB460" s="107"/>
      <c r="AC460" s="107"/>
      <c r="AD460" s="107"/>
      <c r="AE460" s="107"/>
      <c r="AF460" s="107"/>
      <c r="AG460" s="107"/>
      <c r="AH460" s="107"/>
      <c r="AI460" s="107"/>
      <c r="AJ460" s="107"/>
      <c r="AK460" s="107"/>
      <c r="AL460" s="107"/>
      <c r="AM460" s="107"/>
      <c r="AN460" s="107"/>
      <c r="AO460" s="107"/>
      <c r="AP460" s="107"/>
      <c r="AQ460" s="107"/>
      <c r="AR460" s="107"/>
      <c r="AS460" s="107"/>
      <c r="AT460" s="107"/>
      <c r="AU460" s="107"/>
      <c r="AV460" s="107"/>
      <c r="AW460" s="107"/>
      <c r="AX460" s="107"/>
      <c r="AY460" s="107"/>
      <c r="AZ460" s="107"/>
      <c r="BA460" s="107"/>
      <c r="BB460" s="107"/>
    </row>
    <row r="461" spans="1:54" ht="17.399999999999999" x14ac:dyDescent="0.3">
      <c r="A461" s="148" t="s">
        <v>812</v>
      </c>
      <c r="B461" s="70"/>
      <c r="C461" s="8"/>
      <c r="D461" s="8"/>
      <c r="E461" s="91"/>
      <c r="F461" s="91"/>
      <c r="G461" s="107"/>
      <c r="H461" s="107"/>
      <c r="I461" s="107"/>
      <c r="J461" s="107"/>
      <c r="K461" s="107"/>
      <c r="L461" s="107"/>
      <c r="M461" s="107"/>
      <c r="N461" s="107"/>
      <c r="O461" s="107"/>
      <c r="P461" s="107"/>
      <c r="Q461" s="107"/>
      <c r="R461" s="107"/>
      <c r="S461" s="107"/>
      <c r="T461" s="107"/>
      <c r="U461" s="107"/>
      <c r="V461" s="107"/>
      <c r="W461" s="107"/>
      <c r="X461" s="107"/>
      <c r="Y461" s="107"/>
      <c r="Z461" s="107"/>
      <c r="AA461" s="107"/>
      <c r="AB461" s="107"/>
      <c r="AC461" s="107"/>
      <c r="AD461" s="107"/>
      <c r="AE461" s="107"/>
      <c r="AF461" s="107"/>
      <c r="AG461" s="107"/>
      <c r="AH461" s="107"/>
      <c r="AI461" s="107"/>
      <c r="AJ461" s="107"/>
      <c r="AK461" s="107"/>
      <c r="AL461" s="107"/>
      <c r="AM461" s="107"/>
      <c r="AN461" s="107"/>
      <c r="AO461" s="107"/>
      <c r="AP461" s="107"/>
      <c r="AQ461" s="107"/>
      <c r="AR461" s="107"/>
      <c r="AS461" s="107"/>
      <c r="AT461" s="107"/>
      <c r="AU461" s="107"/>
      <c r="AV461" s="107"/>
      <c r="AW461" s="107"/>
      <c r="AX461" s="107"/>
      <c r="AY461" s="107"/>
      <c r="AZ461" s="107"/>
      <c r="BA461" s="107"/>
      <c r="BB461" s="107"/>
    </row>
    <row r="462" spans="1:54" ht="15" x14ac:dyDescent="0.25">
      <c r="A462" s="143" t="s">
        <v>484</v>
      </c>
      <c r="B462" s="23"/>
      <c r="C462" s="8">
        <v>1</v>
      </c>
      <c r="D462" s="8">
        <v>1</v>
      </c>
      <c r="E462" s="91"/>
      <c r="F462" s="91"/>
      <c r="G462" s="107"/>
      <c r="H462" s="107"/>
      <c r="I462" s="107"/>
      <c r="J462" s="107"/>
      <c r="K462" s="107"/>
      <c r="L462" s="107"/>
      <c r="M462" s="107"/>
      <c r="N462" s="107"/>
      <c r="O462" s="107"/>
      <c r="P462" s="107"/>
      <c r="Q462" s="107"/>
      <c r="R462" s="107"/>
      <c r="S462" s="107"/>
      <c r="T462" s="107"/>
      <c r="U462" s="107"/>
      <c r="V462" s="107"/>
      <c r="W462" s="107"/>
      <c r="X462" s="107"/>
      <c r="Y462" s="107"/>
      <c r="Z462" s="107"/>
      <c r="AA462" s="107"/>
      <c r="AB462" s="107"/>
      <c r="AC462" s="107"/>
      <c r="AD462" s="107"/>
      <c r="AE462" s="107"/>
      <c r="AF462" s="107"/>
      <c r="AG462" s="107"/>
      <c r="AH462" s="107"/>
      <c r="AI462" s="107"/>
      <c r="AJ462" s="107"/>
      <c r="AK462" s="107"/>
      <c r="AL462" s="107"/>
      <c r="AM462" s="107"/>
      <c r="AN462" s="107"/>
      <c r="AO462" s="107"/>
      <c r="AP462" s="107"/>
      <c r="AQ462" s="107"/>
      <c r="AR462" s="107"/>
      <c r="AS462" s="107"/>
      <c r="AT462" s="107"/>
      <c r="AU462" s="107"/>
      <c r="AV462" s="107"/>
      <c r="AW462" s="107"/>
      <c r="AX462" s="107"/>
      <c r="AY462" s="107"/>
      <c r="AZ462" s="107"/>
      <c r="BA462" s="107"/>
      <c r="BB462" s="107"/>
    </row>
    <row r="463" spans="1:54" ht="15" x14ac:dyDescent="0.25">
      <c r="A463" s="143" t="s">
        <v>395</v>
      </c>
      <c r="B463" s="15"/>
      <c r="C463" s="8">
        <v>1</v>
      </c>
      <c r="D463" s="8"/>
      <c r="E463" s="91"/>
      <c r="F463" s="91"/>
      <c r="G463" s="107"/>
      <c r="H463" s="107"/>
      <c r="I463" s="107"/>
      <c r="J463" s="107"/>
      <c r="K463" s="107"/>
      <c r="L463" s="107"/>
      <c r="M463" s="107"/>
      <c r="N463" s="107"/>
      <c r="O463" s="107"/>
      <c r="P463" s="107"/>
      <c r="Q463" s="107"/>
      <c r="R463" s="107"/>
      <c r="S463" s="107"/>
      <c r="T463" s="107"/>
      <c r="U463" s="107"/>
      <c r="V463" s="107"/>
      <c r="W463" s="107"/>
      <c r="X463" s="107"/>
      <c r="Y463" s="107"/>
      <c r="Z463" s="107"/>
      <c r="AA463" s="107"/>
      <c r="AB463" s="107"/>
      <c r="AC463" s="107"/>
      <c r="AD463" s="107"/>
      <c r="AE463" s="107"/>
      <c r="AF463" s="107"/>
      <c r="AG463" s="107"/>
      <c r="AH463" s="107"/>
      <c r="AI463" s="107"/>
      <c r="AJ463" s="107"/>
      <c r="AK463" s="107"/>
      <c r="AL463" s="107"/>
      <c r="AM463" s="107"/>
      <c r="AN463" s="107"/>
      <c r="AO463" s="107"/>
      <c r="AP463" s="107"/>
      <c r="AQ463" s="107"/>
      <c r="AR463" s="107"/>
      <c r="AS463" s="107"/>
      <c r="AT463" s="107"/>
      <c r="AU463" s="107"/>
      <c r="AV463" s="107"/>
      <c r="AW463" s="107"/>
      <c r="AX463" s="107"/>
      <c r="AY463" s="107"/>
      <c r="AZ463" s="107"/>
      <c r="BA463" s="107"/>
      <c r="BB463" s="107"/>
    </row>
    <row r="464" spans="1:54" ht="15" x14ac:dyDescent="0.25">
      <c r="A464" s="143" t="s">
        <v>400</v>
      </c>
      <c r="B464" s="15">
        <v>2</v>
      </c>
      <c r="C464" s="8">
        <v>2</v>
      </c>
      <c r="D464" s="8"/>
      <c r="E464" s="91"/>
      <c r="F464" s="91"/>
      <c r="G464" s="107"/>
      <c r="H464" s="107"/>
      <c r="I464" s="107"/>
      <c r="J464" s="107"/>
      <c r="K464" s="107"/>
      <c r="L464" s="107"/>
      <c r="M464" s="107"/>
      <c r="N464" s="107"/>
      <c r="O464" s="107"/>
      <c r="P464" s="107"/>
      <c r="Q464" s="107"/>
      <c r="R464" s="107"/>
      <c r="S464" s="107"/>
      <c r="T464" s="107"/>
      <c r="U464" s="107"/>
      <c r="V464" s="107"/>
      <c r="W464" s="107"/>
      <c r="X464" s="107"/>
      <c r="Y464" s="107"/>
      <c r="Z464" s="107"/>
      <c r="AA464" s="107"/>
      <c r="AB464" s="107"/>
      <c r="AC464" s="107"/>
      <c r="AD464" s="107"/>
      <c r="AE464" s="107"/>
      <c r="AF464" s="107"/>
      <c r="AG464" s="107"/>
      <c r="AH464" s="107"/>
      <c r="AI464" s="107"/>
      <c r="AJ464" s="107"/>
      <c r="AK464" s="107"/>
      <c r="AL464" s="107"/>
      <c r="AM464" s="107"/>
      <c r="AN464" s="107"/>
      <c r="AO464" s="107"/>
      <c r="AP464" s="107"/>
      <c r="AQ464" s="107"/>
      <c r="AR464" s="107"/>
      <c r="AS464" s="107"/>
      <c r="AT464" s="107"/>
      <c r="AU464" s="107"/>
      <c r="AV464" s="107"/>
      <c r="AW464" s="107"/>
      <c r="AX464" s="107"/>
      <c r="AY464" s="107"/>
      <c r="AZ464" s="107"/>
      <c r="BA464" s="107"/>
      <c r="BB464" s="107"/>
    </row>
    <row r="465" spans="1:54" ht="15" x14ac:dyDescent="0.25">
      <c r="A465" s="143" t="s">
        <v>401</v>
      </c>
      <c r="B465" s="15"/>
      <c r="C465" s="8">
        <v>1</v>
      </c>
      <c r="D465" s="8"/>
      <c r="E465" s="91"/>
      <c r="F465" s="91"/>
      <c r="G465" s="107"/>
      <c r="H465" s="107"/>
      <c r="I465" s="107"/>
      <c r="J465" s="107"/>
      <c r="K465" s="107"/>
      <c r="L465" s="107"/>
      <c r="M465" s="107"/>
      <c r="N465" s="107"/>
      <c r="O465" s="107"/>
      <c r="P465" s="107"/>
      <c r="Q465" s="107"/>
      <c r="R465" s="107"/>
      <c r="S465" s="107"/>
      <c r="T465" s="107"/>
      <c r="U465" s="107"/>
      <c r="V465" s="107"/>
      <c r="W465" s="107"/>
      <c r="X465" s="107"/>
      <c r="Y465" s="107"/>
      <c r="Z465" s="107"/>
      <c r="AA465" s="107"/>
      <c r="AB465" s="107"/>
      <c r="AC465" s="107"/>
      <c r="AD465" s="107"/>
      <c r="AE465" s="107"/>
      <c r="AF465" s="107"/>
      <c r="AG465" s="107"/>
      <c r="AH465" s="107"/>
      <c r="AI465" s="107"/>
      <c r="AJ465" s="107"/>
      <c r="AK465" s="107"/>
      <c r="AL465" s="107"/>
      <c r="AM465" s="107"/>
      <c r="AN465" s="107"/>
      <c r="AO465" s="107"/>
      <c r="AP465" s="107"/>
      <c r="AQ465" s="107"/>
      <c r="AR465" s="107"/>
      <c r="AS465" s="107"/>
      <c r="AT465" s="107"/>
      <c r="AU465" s="107"/>
      <c r="AV465" s="107"/>
      <c r="AW465" s="107"/>
      <c r="AX465" s="107"/>
      <c r="AY465" s="107"/>
      <c r="AZ465" s="107"/>
      <c r="BA465" s="107"/>
      <c r="BB465" s="107"/>
    </row>
    <row r="466" spans="1:54" ht="15" x14ac:dyDescent="0.25">
      <c r="A466" s="143" t="s">
        <v>402</v>
      </c>
      <c r="B466" s="15">
        <v>8</v>
      </c>
      <c r="C466" s="8">
        <v>9</v>
      </c>
      <c r="D466" s="8">
        <v>2</v>
      </c>
      <c r="E466" s="91"/>
      <c r="F466" s="91"/>
      <c r="G466" s="107"/>
      <c r="H466" s="107"/>
      <c r="I466" s="107"/>
      <c r="J466" s="107"/>
      <c r="K466" s="107"/>
      <c r="L466" s="107"/>
      <c r="M466" s="107"/>
      <c r="N466" s="107"/>
      <c r="O466" s="107"/>
      <c r="P466" s="107"/>
      <c r="Q466" s="107"/>
      <c r="R466" s="107"/>
      <c r="S466" s="107"/>
      <c r="T466" s="107"/>
      <c r="U466" s="107"/>
      <c r="V466" s="107"/>
      <c r="W466" s="107"/>
      <c r="X466" s="107"/>
      <c r="Y466" s="107"/>
      <c r="Z466" s="107"/>
      <c r="AA466" s="107"/>
      <c r="AB466" s="107"/>
      <c r="AC466" s="107"/>
      <c r="AD466" s="107"/>
      <c r="AE466" s="107"/>
      <c r="AF466" s="107"/>
      <c r="AG466" s="107"/>
      <c r="AH466" s="107"/>
      <c r="AI466" s="107"/>
      <c r="AJ466" s="107"/>
      <c r="AK466" s="107"/>
      <c r="AL466" s="107"/>
      <c r="AM466" s="107"/>
      <c r="AN466" s="107"/>
      <c r="AO466" s="107"/>
      <c r="AP466" s="107"/>
      <c r="AQ466" s="107"/>
      <c r="AR466" s="107"/>
      <c r="AS466" s="107"/>
      <c r="AT466" s="107"/>
      <c r="AU466" s="107"/>
      <c r="AV466" s="107"/>
      <c r="AW466" s="107"/>
      <c r="AX466" s="107"/>
      <c r="AY466" s="107"/>
      <c r="AZ466" s="107"/>
      <c r="BA466" s="107"/>
      <c r="BB466" s="107"/>
    </row>
    <row r="467" spans="1:54" ht="15" x14ac:dyDescent="0.25">
      <c r="A467" s="143" t="s">
        <v>403</v>
      </c>
      <c r="B467" s="15">
        <v>4</v>
      </c>
      <c r="C467" s="8">
        <v>6</v>
      </c>
      <c r="D467" s="8">
        <v>1</v>
      </c>
      <c r="E467" s="91"/>
      <c r="F467" s="91"/>
      <c r="G467" s="107"/>
      <c r="H467" s="107"/>
      <c r="I467" s="107"/>
      <c r="J467" s="107"/>
      <c r="K467" s="107"/>
      <c r="L467" s="107"/>
      <c r="M467" s="107"/>
      <c r="N467" s="107"/>
      <c r="O467" s="107"/>
      <c r="P467" s="107"/>
      <c r="Q467" s="107"/>
      <c r="R467" s="107"/>
      <c r="S467" s="107"/>
      <c r="T467" s="107"/>
      <c r="U467" s="107"/>
      <c r="V467" s="107"/>
      <c r="W467" s="107"/>
      <c r="X467" s="107"/>
      <c r="Y467" s="107"/>
      <c r="Z467" s="107"/>
      <c r="AA467" s="107"/>
      <c r="AB467" s="107"/>
      <c r="AC467" s="107"/>
      <c r="AD467" s="107"/>
      <c r="AE467" s="107"/>
      <c r="AF467" s="107"/>
      <c r="AG467" s="107"/>
      <c r="AH467" s="107"/>
      <c r="AI467" s="107"/>
      <c r="AJ467" s="107"/>
      <c r="AK467" s="107"/>
      <c r="AL467" s="107"/>
      <c r="AM467" s="107"/>
      <c r="AN467" s="107"/>
      <c r="AO467" s="107"/>
      <c r="AP467" s="107"/>
      <c r="AQ467" s="107"/>
      <c r="AR467" s="107"/>
      <c r="AS467" s="107"/>
      <c r="AT467" s="107"/>
      <c r="AU467" s="107"/>
      <c r="AV467" s="107"/>
      <c r="AW467" s="107"/>
      <c r="AX467" s="107"/>
      <c r="AY467" s="107"/>
      <c r="AZ467" s="107"/>
      <c r="BA467" s="107"/>
      <c r="BB467" s="107"/>
    </row>
    <row r="468" spans="1:54" ht="15" x14ac:dyDescent="0.25">
      <c r="A468" s="143" t="s">
        <v>485</v>
      </c>
      <c r="B468" s="15">
        <v>1</v>
      </c>
      <c r="C468" s="8"/>
      <c r="D468" s="8"/>
      <c r="E468" s="91"/>
      <c r="F468" s="91"/>
      <c r="G468" s="107"/>
      <c r="H468" s="107"/>
      <c r="I468" s="107"/>
      <c r="J468" s="107"/>
      <c r="K468" s="107"/>
      <c r="L468" s="107"/>
      <c r="M468" s="107"/>
      <c r="N468" s="107"/>
      <c r="O468" s="107"/>
      <c r="P468" s="107"/>
      <c r="Q468" s="107"/>
      <c r="R468" s="107"/>
      <c r="S468" s="107"/>
      <c r="T468" s="107"/>
      <c r="U468" s="107"/>
      <c r="V468" s="107"/>
      <c r="W468" s="107"/>
      <c r="X468" s="107"/>
      <c r="Y468" s="107"/>
      <c r="Z468" s="107"/>
      <c r="AA468" s="107"/>
      <c r="AB468" s="107"/>
      <c r="AC468" s="107"/>
      <c r="AD468" s="107"/>
      <c r="AE468" s="107"/>
      <c r="AF468" s="107"/>
      <c r="AG468" s="107"/>
      <c r="AH468" s="107"/>
      <c r="AI468" s="107"/>
      <c r="AJ468" s="107"/>
      <c r="AK468" s="107"/>
      <c r="AL468" s="107"/>
      <c r="AM468" s="107"/>
      <c r="AN468" s="107"/>
      <c r="AO468" s="107"/>
      <c r="AP468" s="107"/>
      <c r="AQ468" s="107"/>
      <c r="AR468" s="107"/>
      <c r="AS468" s="107"/>
      <c r="AT468" s="107"/>
      <c r="AU468" s="107"/>
      <c r="AV468" s="107"/>
      <c r="AW468" s="107"/>
      <c r="AX468" s="107"/>
      <c r="AY468" s="107"/>
      <c r="AZ468" s="107"/>
      <c r="BA468" s="107"/>
      <c r="BB468" s="107"/>
    </row>
    <row r="469" spans="1:54" ht="15" x14ac:dyDescent="0.25">
      <c r="A469" s="143" t="s">
        <v>486</v>
      </c>
      <c r="B469" s="15">
        <v>1</v>
      </c>
      <c r="C469" s="8"/>
      <c r="D469" s="8">
        <v>1</v>
      </c>
      <c r="E469" s="91"/>
      <c r="F469" s="91"/>
      <c r="G469" s="107"/>
      <c r="H469" s="107"/>
      <c r="I469" s="107"/>
      <c r="J469" s="107"/>
      <c r="K469" s="107"/>
      <c r="L469" s="107"/>
      <c r="M469" s="107"/>
      <c r="N469" s="107"/>
      <c r="O469" s="107"/>
      <c r="P469" s="107"/>
      <c r="Q469" s="107"/>
      <c r="R469" s="107"/>
      <c r="S469" s="107"/>
      <c r="T469" s="107"/>
      <c r="U469" s="107"/>
      <c r="V469" s="107"/>
      <c r="W469" s="107"/>
      <c r="X469" s="107"/>
      <c r="Y469" s="107"/>
      <c r="Z469" s="107"/>
      <c r="AA469" s="107"/>
      <c r="AB469" s="107"/>
      <c r="AC469" s="107"/>
      <c r="AD469" s="107"/>
      <c r="AE469" s="107"/>
      <c r="AF469" s="107"/>
      <c r="AG469" s="107"/>
      <c r="AH469" s="107"/>
      <c r="AI469" s="107"/>
      <c r="AJ469" s="107"/>
      <c r="AK469" s="107"/>
      <c r="AL469" s="107"/>
      <c r="AM469" s="107"/>
      <c r="AN469" s="107"/>
      <c r="AO469" s="107"/>
      <c r="AP469" s="107"/>
      <c r="AQ469" s="107"/>
      <c r="AR469" s="107"/>
      <c r="AS469" s="107"/>
      <c r="AT469" s="107"/>
      <c r="AU469" s="107"/>
      <c r="AV469" s="107"/>
      <c r="AW469" s="107"/>
      <c r="AX469" s="107"/>
      <c r="AY469" s="107"/>
      <c r="AZ469" s="107"/>
      <c r="BA469" s="107"/>
      <c r="BB469" s="107"/>
    </row>
    <row r="470" spans="1:54" ht="15" x14ac:dyDescent="0.25">
      <c r="A470" s="143" t="s">
        <v>426</v>
      </c>
      <c r="B470" s="15">
        <v>2</v>
      </c>
      <c r="C470" s="8">
        <v>1</v>
      </c>
      <c r="D470" s="8"/>
      <c r="E470" s="91"/>
      <c r="F470" s="91"/>
      <c r="G470" s="107"/>
      <c r="H470" s="107"/>
      <c r="I470" s="107"/>
      <c r="J470" s="107"/>
      <c r="K470" s="107"/>
      <c r="L470" s="107"/>
      <c r="M470" s="107"/>
      <c r="N470" s="107"/>
      <c r="O470" s="107"/>
      <c r="P470" s="107"/>
      <c r="Q470" s="107"/>
      <c r="R470" s="107"/>
      <c r="S470" s="107"/>
      <c r="T470" s="107"/>
      <c r="U470" s="107"/>
      <c r="V470" s="107"/>
      <c r="W470" s="107"/>
      <c r="X470" s="107"/>
      <c r="Y470" s="107"/>
      <c r="Z470" s="107"/>
      <c r="AA470" s="107"/>
      <c r="AB470" s="107"/>
      <c r="AC470" s="107"/>
      <c r="AD470" s="107"/>
      <c r="AE470" s="107"/>
      <c r="AF470" s="107"/>
      <c r="AG470" s="107"/>
      <c r="AH470" s="107"/>
      <c r="AI470" s="107"/>
      <c r="AJ470" s="107"/>
      <c r="AK470" s="107"/>
      <c r="AL470" s="107"/>
      <c r="AM470" s="107"/>
      <c r="AN470" s="107"/>
      <c r="AO470" s="107"/>
      <c r="AP470" s="107"/>
      <c r="AQ470" s="107"/>
      <c r="AR470" s="107"/>
      <c r="AS470" s="107"/>
      <c r="AT470" s="107"/>
      <c r="AU470" s="107"/>
      <c r="AV470" s="107"/>
      <c r="AW470" s="107"/>
      <c r="AX470" s="107"/>
      <c r="AY470" s="107"/>
      <c r="AZ470" s="107"/>
      <c r="BA470" s="107"/>
      <c r="BB470" s="107"/>
    </row>
    <row r="471" spans="1:54" ht="15" x14ac:dyDescent="0.25">
      <c r="A471" s="143" t="s">
        <v>450</v>
      </c>
      <c r="B471" s="15">
        <v>20</v>
      </c>
      <c r="C471" s="8">
        <v>10</v>
      </c>
      <c r="D471" s="8"/>
      <c r="E471" s="91"/>
      <c r="F471" s="91"/>
      <c r="G471" s="107"/>
      <c r="H471" s="107"/>
      <c r="I471" s="107"/>
      <c r="J471" s="107"/>
      <c r="K471" s="107"/>
      <c r="L471" s="107"/>
      <c r="M471" s="107"/>
      <c r="N471" s="107"/>
      <c r="O471" s="107"/>
      <c r="P471" s="107"/>
      <c r="Q471" s="107"/>
      <c r="R471" s="107"/>
      <c r="S471" s="107"/>
      <c r="T471" s="107"/>
      <c r="U471" s="107"/>
      <c r="V471" s="107"/>
      <c r="W471" s="107"/>
      <c r="X471" s="107"/>
      <c r="Y471" s="107"/>
      <c r="Z471" s="107"/>
      <c r="AA471" s="107"/>
      <c r="AB471" s="107"/>
      <c r="AC471" s="107"/>
      <c r="AD471" s="107"/>
      <c r="AE471" s="107"/>
      <c r="AF471" s="107"/>
      <c r="AG471" s="107"/>
      <c r="AH471" s="107"/>
      <c r="AI471" s="107"/>
      <c r="AJ471" s="107"/>
      <c r="AK471" s="107"/>
      <c r="AL471" s="107"/>
      <c r="AM471" s="107"/>
      <c r="AN471" s="107"/>
      <c r="AO471" s="107"/>
      <c r="AP471" s="107"/>
      <c r="AQ471" s="107"/>
      <c r="AR471" s="107"/>
      <c r="AS471" s="107"/>
      <c r="AT471" s="107"/>
      <c r="AU471" s="107"/>
      <c r="AV471" s="107"/>
      <c r="AW471" s="107"/>
      <c r="AX471" s="107"/>
      <c r="AY471" s="107"/>
      <c r="AZ471" s="107"/>
      <c r="BA471" s="107"/>
      <c r="BB471" s="107"/>
    </row>
    <row r="472" spans="1:54" ht="15" x14ac:dyDescent="0.25">
      <c r="A472" s="143" t="s">
        <v>455</v>
      </c>
      <c r="B472" s="15">
        <v>15</v>
      </c>
      <c r="C472" s="8">
        <v>10</v>
      </c>
      <c r="D472" s="8"/>
      <c r="E472" s="91"/>
      <c r="F472" s="91"/>
      <c r="G472" s="107"/>
      <c r="H472" s="107"/>
      <c r="I472" s="107"/>
      <c r="J472" s="107"/>
      <c r="K472" s="107"/>
      <c r="L472" s="107"/>
      <c r="M472" s="107"/>
      <c r="N472" s="107"/>
      <c r="O472" s="107"/>
      <c r="P472" s="107"/>
      <c r="Q472" s="107"/>
      <c r="R472" s="107"/>
      <c r="S472" s="107"/>
      <c r="T472" s="107"/>
      <c r="U472" s="107"/>
      <c r="V472" s="107"/>
      <c r="W472" s="107"/>
      <c r="X472" s="107"/>
      <c r="Y472" s="107"/>
      <c r="Z472" s="107"/>
      <c r="AA472" s="107"/>
      <c r="AB472" s="107"/>
      <c r="AC472" s="107"/>
      <c r="AD472" s="107"/>
      <c r="AE472" s="107"/>
      <c r="AF472" s="107"/>
      <c r="AG472" s="107"/>
      <c r="AH472" s="107"/>
      <c r="AI472" s="107"/>
      <c r="AJ472" s="107"/>
      <c r="AK472" s="107"/>
      <c r="AL472" s="107"/>
      <c r="AM472" s="107"/>
      <c r="AN472" s="107"/>
      <c r="AO472" s="107"/>
      <c r="AP472" s="107"/>
      <c r="AQ472" s="107"/>
      <c r="AR472" s="107"/>
      <c r="AS472" s="107"/>
      <c r="AT472" s="107"/>
      <c r="AU472" s="107"/>
      <c r="AV472" s="107"/>
      <c r="AW472" s="107"/>
      <c r="AX472" s="107"/>
      <c r="AY472" s="107"/>
      <c r="AZ472" s="107"/>
      <c r="BA472" s="107"/>
      <c r="BB472" s="107"/>
    </row>
    <row r="473" spans="1:54" ht="15" x14ac:dyDescent="0.25">
      <c r="A473" s="143" t="s">
        <v>453</v>
      </c>
      <c r="B473" s="15">
        <v>5</v>
      </c>
      <c r="C473" s="8">
        <v>1</v>
      </c>
      <c r="D473" s="8">
        <v>3</v>
      </c>
      <c r="E473" s="91"/>
      <c r="F473" s="91"/>
      <c r="G473" s="107"/>
      <c r="H473" s="107"/>
      <c r="I473" s="107"/>
      <c r="J473" s="107"/>
      <c r="K473" s="107"/>
      <c r="L473" s="107"/>
      <c r="M473" s="107"/>
      <c r="N473" s="107"/>
      <c r="O473" s="107"/>
      <c r="P473" s="107"/>
      <c r="Q473" s="107"/>
      <c r="R473" s="107"/>
      <c r="S473" s="107"/>
      <c r="T473" s="107"/>
      <c r="U473" s="107"/>
      <c r="V473" s="107"/>
      <c r="W473" s="107"/>
      <c r="X473" s="107"/>
      <c r="Y473" s="107"/>
      <c r="Z473" s="107"/>
      <c r="AA473" s="107"/>
      <c r="AB473" s="107"/>
      <c r="AC473" s="107"/>
      <c r="AD473" s="107"/>
      <c r="AE473" s="107"/>
      <c r="AF473" s="107"/>
      <c r="AG473" s="107"/>
      <c r="AH473" s="107"/>
      <c r="AI473" s="107"/>
      <c r="AJ473" s="107"/>
      <c r="AK473" s="107"/>
      <c r="AL473" s="107"/>
      <c r="AM473" s="107"/>
      <c r="AN473" s="107"/>
      <c r="AO473" s="107"/>
      <c r="AP473" s="107"/>
      <c r="AQ473" s="107"/>
      <c r="AR473" s="107"/>
      <c r="AS473" s="107"/>
      <c r="AT473" s="107"/>
      <c r="AU473" s="107"/>
      <c r="AV473" s="107"/>
      <c r="AW473" s="107"/>
      <c r="AX473" s="107"/>
      <c r="AY473" s="107"/>
      <c r="AZ473" s="107"/>
      <c r="BA473" s="107"/>
      <c r="BB473" s="107"/>
    </row>
    <row r="474" spans="1:54" ht="15" x14ac:dyDescent="0.25">
      <c r="A474" s="143" t="s">
        <v>425</v>
      </c>
      <c r="B474" s="15">
        <v>1</v>
      </c>
      <c r="C474" s="8"/>
      <c r="D474" s="8"/>
      <c r="E474" s="91"/>
      <c r="F474" s="91"/>
      <c r="G474" s="107"/>
      <c r="H474" s="107"/>
      <c r="I474" s="107"/>
      <c r="J474" s="107"/>
      <c r="K474" s="107"/>
      <c r="L474" s="107"/>
      <c r="M474" s="107"/>
      <c r="N474" s="107"/>
      <c r="O474" s="107"/>
      <c r="P474" s="107"/>
      <c r="Q474" s="107"/>
      <c r="R474" s="107"/>
      <c r="S474" s="107"/>
      <c r="T474" s="107"/>
      <c r="U474" s="107"/>
      <c r="V474" s="107"/>
      <c r="W474" s="107"/>
      <c r="X474" s="107"/>
      <c r="Y474" s="107"/>
      <c r="Z474" s="107"/>
      <c r="AA474" s="107"/>
      <c r="AB474" s="107"/>
      <c r="AC474" s="107"/>
      <c r="AD474" s="107"/>
      <c r="AE474" s="107"/>
      <c r="AF474" s="107"/>
      <c r="AG474" s="107"/>
      <c r="AH474" s="107"/>
      <c r="AI474" s="107"/>
      <c r="AJ474" s="107"/>
      <c r="AK474" s="107"/>
      <c r="AL474" s="107"/>
      <c r="AM474" s="107"/>
      <c r="AN474" s="107"/>
      <c r="AO474" s="107"/>
      <c r="AP474" s="107"/>
      <c r="AQ474" s="107"/>
      <c r="AR474" s="107"/>
      <c r="AS474" s="107"/>
      <c r="AT474" s="107"/>
      <c r="AU474" s="107"/>
      <c r="AV474" s="107"/>
      <c r="AW474" s="107"/>
      <c r="AX474" s="107"/>
      <c r="AY474" s="107"/>
      <c r="AZ474" s="107"/>
      <c r="BA474" s="107"/>
      <c r="BB474" s="107"/>
    </row>
    <row r="475" spans="1:54" ht="15" x14ac:dyDescent="0.25">
      <c r="A475" s="143"/>
      <c r="B475" s="15"/>
      <c r="C475" s="8"/>
      <c r="D475" s="8"/>
      <c r="E475" s="91"/>
      <c r="F475" s="91"/>
      <c r="G475" s="107"/>
      <c r="H475" s="107"/>
      <c r="I475" s="107"/>
      <c r="J475" s="107"/>
      <c r="K475" s="107"/>
      <c r="L475" s="107"/>
      <c r="M475" s="107"/>
      <c r="N475" s="107"/>
      <c r="O475" s="107"/>
      <c r="P475" s="107"/>
      <c r="Q475" s="107"/>
      <c r="R475" s="107"/>
      <c r="S475" s="107"/>
      <c r="T475" s="107"/>
      <c r="U475" s="107"/>
      <c r="V475" s="107"/>
      <c r="W475" s="107"/>
      <c r="X475" s="107"/>
      <c r="Y475" s="107"/>
      <c r="Z475" s="107"/>
      <c r="AA475" s="107"/>
      <c r="AB475" s="107"/>
      <c r="AC475" s="107"/>
      <c r="AD475" s="107"/>
      <c r="AE475" s="107"/>
      <c r="AF475" s="107"/>
      <c r="AG475" s="107"/>
      <c r="AH475" s="107"/>
      <c r="AI475" s="107"/>
      <c r="AJ475" s="107"/>
      <c r="AK475" s="107"/>
      <c r="AL475" s="107"/>
      <c r="AM475" s="107"/>
      <c r="AN475" s="107"/>
      <c r="AO475" s="107"/>
      <c r="AP475" s="107"/>
      <c r="AQ475" s="107"/>
      <c r="AR475" s="107"/>
      <c r="AS475" s="107"/>
      <c r="AT475" s="107"/>
      <c r="AU475" s="107"/>
      <c r="AV475" s="107"/>
      <c r="AW475" s="107"/>
      <c r="AX475" s="107"/>
      <c r="AY475" s="107"/>
      <c r="AZ475" s="107"/>
      <c r="BA475" s="107"/>
      <c r="BB475" s="107"/>
    </row>
    <row r="476" spans="1:54" ht="15" x14ac:dyDescent="0.25">
      <c r="A476" s="143"/>
      <c r="B476" s="15"/>
      <c r="C476" s="8"/>
      <c r="D476" s="8"/>
      <c r="E476" s="91"/>
      <c r="F476" s="91"/>
      <c r="G476" s="107"/>
      <c r="H476" s="107"/>
      <c r="I476" s="107"/>
      <c r="J476" s="107"/>
      <c r="K476" s="107"/>
      <c r="L476" s="107"/>
      <c r="M476" s="107"/>
      <c r="N476" s="107"/>
      <c r="O476" s="107"/>
      <c r="P476" s="107"/>
      <c r="Q476" s="107"/>
      <c r="R476" s="107"/>
      <c r="S476" s="107"/>
      <c r="T476" s="107"/>
      <c r="U476" s="107"/>
      <c r="V476" s="107"/>
      <c r="W476" s="107"/>
      <c r="X476" s="107"/>
      <c r="Y476" s="107"/>
      <c r="Z476" s="107"/>
      <c r="AA476" s="107"/>
      <c r="AB476" s="107"/>
      <c r="AC476" s="107"/>
      <c r="AD476" s="107"/>
      <c r="AE476" s="107"/>
      <c r="AF476" s="107"/>
      <c r="AG476" s="107"/>
      <c r="AH476" s="107"/>
      <c r="AI476" s="107"/>
      <c r="AJ476" s="107"/>
      <c r="AK476" s="107"/>
      <c r="AL476" s="107"/>
      <c r="AM476" s="107"/>
      <c r="AN476" s="107"/>
      <c r="AO476" s="107"/>
      <c r="AP476" s="107"/>
      <c r="AQ476" s="107"/>
      <c r="AR476" s="107"/>
      <c r="AS476" s="107"/>
      <c r="AT476" s="107"/>
      <c r="AU476" s="107"/>
      <c r="AV476" s="107"/>
      <c r="AW476" s="107"/>
      <c r="AX476" s="107"/>
      <c r="AY476" s="107"/>
      <c r="AZ476" s="107"/>
      <c r="BA476" s="107"/>
      <c r="BB476" s="107"/>
    </row>
    <row r="477" spans="1:54" ht="15" x14ac:dyDescent="0.25">
      <c r="A477" s="143"/>
      <c r="B477" s="15"/>
      <c r="C477" s="8"/>
      <c r="D477" s="8"/>
      <c r="E477" s="91"/>
      <c r="F477" s="91"/>
      <c r="G477" s="107"/>
      <c r="H477" s="107"/>
      <c r="I477" s="107"/>
      <c r="J477" s="107"/>
      <c r="K477" s="107"/>
      <c r="L477" s="107"/>
      <c r="M477" s="107"/>
      <c r="N477" s="107"/>
      <c r="O477" s="107"/>
      <c r="P477" s="107"/>
      <c r="Q477" s="107"/>
      <c r="R477" s="107"/>
      <c r="S477" s="107"/>
      <c r="T477" s="107"/>
      <c r="U477" s="107"/>
      <c r="V477" s="107"/>
      <c r="W477" s="107"/>
      <c r="X477" s="107"/>
      <c r="Y477" s="107"/>
      <c r="Z477" s="107"/>
      <c r="AA477" s="107"/>
      <c r="AB477" s="107"/>
      <c r="AC477" s="107"/>
      <c r="AD477" s="107"/>
      <c r="AE477" s="107"/>
      <c r="AF477" s="107"/>
      <c r="AG477" s="107"/>
      <c r="AH477" s="107"/>
      <c r="AI477" s="107"/>
      <c r="AJ477" s="107"/>
      <c r="AK477" s="107"/>
      <c r="AL477" s="107"/>
      <c r="AM477" s="107"/>
      <c r="AN477" s="107"/>
      <c r="AO477" s="107"/>
      <c r="AP477" s="107"/>
      <c r="AQ477" s="107"/>
      <c r="AR477" s="107"/>
      <c r="AS477" s="107"/>
      <c r="AT477" s="107"/>
      <c r="AU477" s="107"/>
      <c r="AV477" s="107"/>
      <c r="AW477" s="107"/>
      <c r="AX477" s="107"/>
      <c r="AY477" s="107"/>
      <c r="AZ477" s="107"/>
      <c r="BA477" s="107"/>
      <c r="BB477" s="107"/>
    </row>
    <row r="478" spans="1:54" ht="15" x14ac:dyDescent="0.25">
      <c r="A478" s="143"/>
      <c r="B478" s="8"/>
      <c r="C478" s="8"/>
      <c r="D478" s="8"/>
      <c r="E478" s="91"/>
      <c r="F478" s="91"/>
      <c r="G478" s="107"/>
      <c r="H478" s="107"/>
      <c r="I478" s="107"/>
      <c r="J478" s="107"/>
      <c r="K478" s="107"/>
      <c r="L478" s="107"/>
      <c r="M478" s="107"/>
      <c r="N478" s="107"/>
      <c r="O478" s="107"/>
      <c r="P478" s="107"/>
      <c r="Q478" s="107"/>
      <c r="R478" s="107"/>
      <c r="S478" s="107"/>
      <c r="T478" s="107"/>
      <c r="U478" s="107"/>
      <c r="V478" s="107"/>
      <c r="W478" s="107"/>
      <c r="X478" s="107"/>
      <c r="Y478" s="107"/>
      <c r="Z478" s="107"/>
      <c r="AA478" s="107"/>
      <c r="AB478" s="107"/>
      <c r="AC478" s="107"/>
      <c r="AD478" s="107"/>
      <c r="AE478" s="107"/>
      <c r="AF478" s="107"/>
      <c r="AG478" s="107"/>
      <c r="AH478" s="107"/>
      <c r="AI478" s="107"/>
      <c r="AJ478" s="107"/>
      <c r="AK478" s="107"/>
      <c r="AL478" s="107"/>
      <c r="AM478" s="107"/>
      <c r="AN478" s="107"/>
      <c r="AO478" s="107"/>
      <c r="AP478" s="107"/>
      <c r="AQ478" s="107"/>
      <c r="AR478" s="107"/>
      <c r="AS478" s="107"/>
      <c r="AT478" s="107"/>
      <c r="AU478" s="107"/>
      <c r="AV478" s="107"/>
      <c r="AW478" s="107"/>
      <c r="AX478" s="107"/>
      <c r="AY478" s="107"/>
      <c r="AZ478" s="107"/>
      <c r="BA478" s="107"/>
      <c r="BB478" s="107"/>
    </row>
    <row r="479" spans="1:54" x14ac:dyDescent="0.25">
      <c r="A479" s="154"/>
      <c r="B479" s="8"/>
      <c r="C479" s="8"/>
      <c r="D479" s="8"/>
      <c r="E479" s="91"/>
      <c r="F479" s="91"/>
      <c r="G479" s="107"/>
      <c r="H479" s="107"/>
      <c r="I479" s="107"/>
      <c r="J479" s="107"/>
      <c r="K479" s="107"/>
      <c r="L479" s="107"/>
      <c r="M479" s="107"/>
      <c r="N479" s="107"/>
      <c r="O479" s="107"/>
      <c r="P479" s="107"/>
      <c r="Q479" s="107"/>
      <c r="R479" s="107"/>
      <c r="S479" s="107"/>
      <c r="T479" s="107"/>
      <c r="U479" s="107"/>
      <c r="V479" s="107"/>
      <c r="W479" s="107"/>
      <c r="X479" s="107"/>
      <c r="Y479" s="107"/>
      <c r="Z479" s="107"/>
      <c r="AA479" s="107"/>
      <c r="AB479" s="107"/>
      <c r="AC479" s="107"/>
      <c r="AD479" s="107"/>
      <c r="AE479" s="107"/>
      <c r="AF479" s="107"/>
      <c r="AG479" s="107"/>
      <c r="AH479" s="107"/>
      <c r="AI479" s="107"/>
      <c r="AJ479" s="107"/>
      <c r="AK479" s="107"/>
      <c r="AL479" s="107"/>
      <c r="AM479" s="107"/>
      <c r="AN479" s="107"/>
      <c r="AO479" s="107"/>
      <c r="AP479" s="107"/>
      <c r="AQ479" s="107"/>
      <c r="AR479" s="107"/>
      <c r="AS479" s="107"/>
      <c r="AT479" s="107"/>
      <c r="AU479" s="107"/>
      <c r="AV479" s="107"/>
      <c r="AW479" s="107"/>
      <c r="AX479" s="107"/>
      <c r="AY479" s="107"/>
      <c r="AZ479" s="107"/>
      <c r="BA479" s="107"/>
      <c r="BB479" s="107"/>
    </row>
    <row r="480" spans="1:54" x14ac:dyDescent="0.25">
      <c r="A480" s="154"/>
      <c r="B480" s="8"/>
      <c r="C480" s="8"/>
      <c r="D480" s="8"/>
      <c r="E480" s="91"/>
      <c r="F480" s="91"/>
      <c r="G480" s="107"/>
      <c r="H480" s="107"/>
      <c r="I480" s="107"/>
      <c r="J480" s="107"/>
      <c r="K480" s="107"/>
      <c r="L480" s="107"/>
      <c r="M480" s="107"/>
      <c r="N480" s="107"/>
      <c r="O480" s="107"/>
      <c r="P480" s="107"/>
      <c r="Q480" s="107"/>
      <c r="R480" s="107"/>
      <c r="S480" s="107"/>
      <c r="T480" s="107"/>
      <c r="U480" s="107"/>
      <c r="V480" s="107"/>
      <c r="W480" s="107"/>
      <c r="X480" s="107"/>
      <c r="Y480" s="107"/>
      <c r="Z480" s="107"/>
      <c r="AA480" s="107"/>
      <c r="AB480" s="107"/>
      <c r="AC480" s="107"/>
      <c r="AD480" s="107"/>
      <c r="AE480" s="107"/>
      <c r="AF480" s="107"/>
      <c r="AG480" s="107"/>
      <c r="AH480" s="107"/>
      <c r="AI480" s="107"/>
      <c r="AJ480" s="107"/>
      <c r="AK480" s="107"/>
      <c r="AL480" s="107"/>
      <c r="AM480" s="107"/>
      <c r="AN480" s="107"/>
      <c r="AO480" s="107"/>
      <c r="AP480" s="107"/>
      <c r="AQ480" s="107"/>
      <c r="AR480" s="107"/>
      <c r="AS480" s="107"/>
      <c r="AT480" s="107"/>
      <c r="AU480" s="107"/>
      <c r="AV480" s="107"/>
      <c r="AW480" s="107"/>
      <c r="AX480" s="107"/>
      <c r="AY480" s="107"/>
      <c r="AZ480" s="107"/>
      <c r="BA480" s="107"/>
      <c r="BB480" s="107"/>
    </row>
    <row r="481" spans="1:54" x14ac:dyDescent="0.25">
      <c r="A481" s="154"/>
      <c r="B481" s="8"/>
      <c r="C481" s="8"/>
      <c r="D481" s="8"/>
      <c r="E481" s="91"/>
      <c r="F481" s="91"/>
      <c r="G481" s="107"/>
      <c r="H481" s="107"/>
      <c r="I481" s="107"/>
      <c r="J481" s="107"/>
      <c r="K481" s="107"/>
      <c r="L481" s="107"/>
      <c r="M481" s="107"/>
      <c r="N481" s="107"/>
      <c r="O481" s="107"/>
      <c r="P481" s="107"/>
      <c r="Q481" s="107"/>
      <c r="R481" s="107"/>
      <c r="S481" s="107"/>
      <c r="T481" s="107"/>
      <c r="U481" s="107"/>
      <c r="V481" s="107"/>
      <c r="W481" s="107"/>
      <c r="X481" s="107"/>
      <c r="Y481" s="107"/>
      <c r="Z481" s="107"/>
      <c r="AA481" s="107"/>
      <c r="AB481" s="107"/>
      <c r="AC481" s="107"/>
      <c r="AD481" s="107"/>
      <c r="AE481" s="107"/>
      <c r="AF481" s="107"/>
      <c r="AG481" s="107"/>
      <c r="AH481" s="107"/>
      <c r="AI481" s="107"/>
      <c r="AJ481" s="107"/>
      <c r="AK481" s="107"/>
      <c r="AL481" s="107"/>
      <c r="AM481" s="107"/>
      <c r="AN481" s="107"/>
      <c r="AO481" s="107"/>
      <c r="AP481" s="107"/>
      <c r="AQ481" s="107"/>
      <c r="AR481" s="107"/>
      <c r="AS481" s="107"/>
      <c r="AT481" s="107"/>
      <c r="AU481" s="107"/>
      <c r="AV481" s="107"/>
      <c r="AW481" s="107"/>
      <c r="AX481" s="107"/>
      <c r="AY481" s="107"/>
      <c r="AZ481" s="107"/>
      <c r="BA481" s="107"/>
      <c r="BB481" s="107"/>
    </row>
    <row r="482" spans="1:54" x14ac:dyDescent="0.25">
      <c r="A482" s="154"/>
      <c r="B482" s="8"/>
      <c r="C482" s="8"/>
      <c r="D482" s="8"/>
      <c r="E482" s="91"/>
      <c r="F482" s="91"/>
      <c r="G482" s="107"/>
      <c r="H482" s="107"/>
      <c r="I482" s="107"/>
      <c r="J482" s="107"/>
      <c r="K482" s="107"/>
      <c r="L482" s="107"/>
      <c r="M482" s="107"/>
      <c r="N482" s="107"/>
      <c r="O482" s="107"/>
      <c r="P482" s="107"/>
      <c r="Q482" s="107"/>
      <c r="R482" s="107"/>
      <c r="S482" s="107"/>
      <c r="T482" s="107"/>
      <c r="U482" s="107"/>
      <c r="V482" s="107"/>
      <c r="W482" s="107"/>
      <c r="X482" s="107"/>
      <c r="Y482" s="107"/>
      <c r="Z482" s="107"/>
      <c r="AA482" s="107"/>
      <c r="AB482" s="107"/>
      <c r="AC482" s="107"/>
      <c r="AD482" s="107"/>
      <c r="AE482" s="107"/>
      <c r="AF482" s="107"/>
      <c r="AG482" s="107"/>
      <c r="AH482" s="107"/>
      <c r="AI482" s="107"/>
      <c r="AJ482" s="107"/>
      <c r="AK482" s="107"/>
      <c r="AL482" s="107"/>
      <c r="AM482" s="107"/>
      <c r="AN482" s="107"/>
      <c r="AO482" s="107"/>
      <c r="AP482" s="107"/>
      <c r="AQ482" s="107"/>
      <c r="AR482" s="107"/>
      <c r="AS482" s="107"/>
      <c r="AT482" s="107"/>
      <c r="AU482" s="107"/>
      <c r="AV482" s="107"/>
      <c r="AW482" s="107"/>
      <c r="AX482" s="107"/>
      <c r="AY482" s="107"/>
      <c r="AZ482" s="107"/>
      <c r="BA482" s="107"/>
      <c r="BB482" s="107"/>
    </row>
    <row r="483" spans="1:54" x14ac:dyDescent="0.25">
      <c r="A483" s="154"/>
      <c r="B483" s="8"/>
      <c r="C483" s="8"/>
      <c r="D483" s="8"/>
      <c r="E483" s="91"/>
      <c r="F483" s="91"/>
      <c r="G483" s="107"/>
      <c r="H483" s="107"/>
      <c r="I483" s="107"/>
      <c r="J483" s="107"/>
      <c r="K483" s="107"/>
      <c r="L483" s="107"/>
      <c r="M483" s="107"/>
      <c r="N483" s="107"/>
      <c r="O483" s="107"/>
      <c r="P483" s="107"/>
      <c r="Q483" s="107"/>
      <c r="R483" s="107"/>
      <c r="S483" s="107"/>
      <c r="T483" s="107"/>
      <c r="U483" s="107"/>
      <c r="V483" s="107"/>
      <c r="W483" s="107"/>
      <c r="X483" s="107"/>
      <c r="Y483" s="107"/>
      <c r="Z483" s="107"/>
      <c r="AA483" s="107"/>
      <c r="AB483" s="107"/>
      <c r="AC483" s="107"/>
      <c r="AD483" s="107"/>
      <c r="AE483" s="107"/>
      <c r="AF483" s="107"/>
      <c r="AG483" s="107"/>
      <c r="AH483" s="107"/>
      <c r="AI483" s="107"/>
      <c r="AJ483" s="107"/>
      <c r="AK483" s="107"/>
      <c r="AL483" s="107"/>
      <c r="AM483" s="107"/>
      <c r="AN483" s="107"/>
      <c r="AO483" s="107"/>
      <c r="AP483" s="107"/>
      <c r="AQ483" s="107"/>
      <c r="AR483" s="107"/>
      <c r="AS483" s="107"/>
      <c r="AT483" s="107"/>
      <c r="AU483" s="107"/>
      <c r="AV483" s="107"/>
      <c r="AW483" s="107"/>
      <c r="AX483" s="107"/>
      <c r="AY483" s="107"/>
      <c r="AZ483" s="107"/>
      <c r="BA483" s="107"/>
      <c r="BB483" s="107"/>
    </row>
    <row r="484" spans="1:54" x14ac:dyDescent="0.25">
      <c r="A484" s="154"/>
      <c r="B484" s="8"/>
      <c r="C484" s="8"/>
      <c r="D484" s="8"/>
      <c r="E484" s="91"/>
      <c r="F484" s="91"/>
      <c r="G484" s="107"/>
      <c r="H484" s="107"/>
      <c r="I484" s="107"/>
      <c r="J484" s="107"/>
      <c r="K484" s="107"/>
      <c r="L484" s="107"/>
      <c r="M484" s="107"/>
      <c r="N484" s="107"/>
      <c r="O484" s="107"/>
      <c r="P484" s="107"/>
      <c r="Q484" s="107"/>
      <c r="R484" s="107"/>
      <c r="S484" s="107"/>
      <c r="T484" s="107"/>
      <c r="U484" s="107"/>
      <c r="V484" s="107"/>
      <c r="W484" s="107"/>
      <c r="X484" s="107"/>
      <c r="Y484" s="107"/>
      <c r="Z484" s="107"/>
      <c r="AA484" s="107"/>
      <c r="AB484" s="107"/>
      <c r="AC484" s="107"/>
      <c r="AD484" s="107"/>
      <c r="AE484" s="107"/>
      <c r="AF484" s="107"/>
      <c r="AG484" s="107"/>
      <c r="AH484" s="107"/>
      <c r="AI484" s="107"/>
      <c r="AJ484" s="107"/>
      <c r="AK484" s="107"/>
      <c r="AL484" s="107"/>
      <c r="AM484" s="107"/>
      <c r="AN484" s="107"/>
      <c r="AO484" s="107"/>
      <c r="AP484" s="107"/>
      <c r="AQ484" s="107"/>
      <c r="AR484" s="107"/>
      <c r="AS484" s="107"/>
      <c r="AT484" s="107"/>
      <c r="AU484" s="107"/>
      <c r="AV484" s="107"/>
      <c r="AW484" s="107"/>
      <c r="AX484" s="107"/>
      <c r="AY484" s="107"/>
      <c r="AZ484" s="107"/>
      <c r="BA484" s="107"/>
      <c r="BB484" s="107"/>
    </row>
    <row r="485" spans="1:54" x14ac:dyDescent="0.25">
      <c r="A485" s="154"/>
      <c r="B485" s="8"/>
      <c r="C485" s="8"/>
      <c r="D485" s="8"/>
      <c r="E485" s="91"/>
      <c r="F485" s="91"/>
      <c r="G485" s="107"/>
      <c r="H485" s="107"/>
      <c r="I485" s="107"/>
      <c r="J485" s="107"/>
      <c r="K485" s="107"/>
      <c r="L485" s="107"/>
      <c r="M485" s="107"/>
      <c r="N485" s="107"/>
      <c r="O485" s="107"/>
      <c r="P485" s="107"/>
      <c r="Q485" s="107"/>
      <c r="R485" s="107"/>
      <c r="S485" s="107"/>
      <c r="T485" s="107"/>
      <c r="U485" s="107"/>
      <c r="V485" s="107"/>
      <c r="W485" s="107"/>
      <c r="X485" s="107"/>
      <c r="Y485" s="107"/>
      <c r="Z485" s="107"/>
      <c r="AA485" s="107"/>
      <c r="AB485" s="107"/>
      <c r="AC485" s="107"/>
      <c r="AD485" s="107"/>
      <c r="AE485" s="107"/>
      <c r="AF485" s="107"/>
      <c r="AG485" s="107"/>
      <c r="AH485" s="107"/>
      <c r="AI485" s="107"/>
      <c r="AJ485" s="107"/>
      <c r="AK485" s="107"/>
      <c r="AL485" s="107"/>
      <c r="AM485" s="107"/>
      <c r="AN485" s="107"/>
      <c r="AO485" s="107"/>
      <c r="AP485" s="107"/>
      <c r="AQ485" s="107"/>
      <c r="AR485" s="107"/>
      <c r="AS485" s="107"/>
      <c r="AT485" s="107"/>
      <c r="AU485" s="107"/>
      <c r="AV485" s="107"/>
      <c r="AW485" s="107"/>
      <c r="AX485" s="107"/>
      <c r="AY485" s="107"/>
      <c r="AZ485" s="107"/>
      <c r="BA485" s="107"/>
      <c r="BB485" s="107"/>
    </row>
    <row r="486" spans="1:54" x14ac:dyDescent="0.25">
      <c r="A486" s="154"/>
      <c r="B486" s="8"/>
      <c r="C486" s="8"/>
      <c r="D486" s="8"/>
      <c r="E486" s="91"/>
      <c r="F486" s="91"/>
      <c r="G486" s="107"/>
      <c r="H486" s="107"/>
      <c r="I486" s="107"/>
      <c r="J486" s="107"/>
      <c r="K486" s="107"/>
      <c r="L486" s="107"/>
      <c r="M486" s="107"/>
      <c r="N486" s="107"/>
      <c r="O486" s="107"/>
      <c r="P486" s="107"/>
      <c r="Q486" s="107"/>
      <c r="R486" s="107"/>
      <c r="S486" s="107"/>
      <c r="T486" s="107"/>
      <c r="U486" s="107"/>
      <c r="V486" s="107"/>
      <c r="W486" s="107"/>
      <c r="X486" s="107"/>
      <c r="Y486" s="107"/>
      <c r="Z486" s="107"/>
      <c r="AA486" s="107"/>
      <c r="AB486" s="107"/>
      <c r="AC486" s="107"/>
      <c r="AD486" s="107"/>
      <c r="AE486" s="107"/>
      <c r="AF486" s="107"/>
      <c r="AG486" s="107"/>
      <c r="AH486" s="107"/>
      <c r="AI486" s="107"/>
      <c r="AJ486" s="107"/>
      <c r="AK486" s="107"/>
      <c r="AL486" s="107"/>
      <c r="AM486" s="107"/>
      <c r="AN486" s="107"/>
      <c r="AO486" s="107"/>
      <c r="AP486" s="107"/>
      <c r="AQ486" s="107"/>
      <c r="AR486" s="107"/>
      <c r="AS486" s="107"/>
      <c r="AT486" s="107"/>
      <c r="AU486" s="107"/>
      <c r="AV486" s="107"/>
      <c r="AW486" s="107"/>
      <c r="AX486" s="107"/>
      <c r="AY486" s="107"/>
      <c r="AZ486" s="107"/>
      <c r="BA486" s="107"/>
      <c r="BB486" s="107"/>
    </row>
    <row r="487" spans="1:54" x14ac:dyDescent="0.25">
      <c r="A487" s="154"/>
      <c r="B487" s="8"/>
      <c r="C487" s="8"/>
      <c r="D487" s="8"/>
      <c r="E487" s="91"/>
      <c r="F487" s="91"/>
      <c r="G487" s="107"/>
      <c r="H487" s="107"/>
      <c r="I487" s="107"/>
      <c r="J487" s="107"/>
      <c r="K487" s="107"/>
      <c r="L487" s="107"/>
      <c r="M487" s="107"/>
      <c r="N487" s="107"/>
      <c r="O487" s="107"/>
      <c r="P487" s="107"/>
      <c r="Q487" s="107"/>
      <c r="R487" s="107"/>
      <c r="S487" s="107"/>
      <c r="T487" s="107"/>
      <c r="U487" s="107"/>
      <c r="V487" s="107"/>
      <c r="W487" s="107"/>
      <c r="X487" s="107"/>
      <c r="Y487" s="107"/>
      <c r="Z487" s="107"/>
      <c r="AA487" s="107"/>
      <c r="AB487" s="107"/>
      <c r="AC487" s="107"/>
      <c r="AD487" s="107"/>
      <c r="AE487" s="107"/>
      <c r="AF487" s="107"/>
      <c r="AG487" s="107"/>
      <c r="AH487" s="107"/>
      <c r="AI487" s="107"/>
      <c r="AJ487" s="107"/>
      <c r="AK487" s="107"/>
      <c r="AL487" s="107"/>
      <c r="AM487" s="107"/>
      <c r="AN487" s="107"/>
      <c r="AO487" s="107"/>
      <c r="AP487" s="107"/>
      <c r="AQ487" s="107"/>
      <c r="AR487" s="107"/>
      <c r="AS487" s="107"/>
      <c r="AT487" s="107"/>
      <c r="AU487" s="107"/>
      <c r="AV487" s="107"/>
      <c r="AW487" s="107"/>
      <c r="AX487" s="107"/>
      <c r="AY487" s="107"/>
      <c r="AZ487" s="107"/>
      <c r="BA487" s="107"/>
      <c r="BB487" s="107"/>
    </row>
    <row r="488" spans="1:54" x14ac:dyDescent="0.25">
      <c r="A488" s="154"/>
      <c r="B488" s="8"/>
      <c r="C488" s="8"/>
      <c r="D488" s="8"/>
      <c r="E488" s="91"/>
      <c r="F488" s="91"/>
      <c r="G488" s="107"/>
      <c r="H488" s="107"/>
      <c r="I488" s="107"/>
      <c r="J488" s="107"/>
      <c r="K488" s="107"/>
      <c r="L488" s="107"/>
      <c r="M488" s="107"/>
      <c r="N488" s="107"/>
      <c r="O488" s="107"/>
      <c r="P488" s="107"/>
      <c r="Q488" s="107"/>
      <c r="R488" s="107"/>
      <c r="S488" s="107"/>
      <c r="T488" s="107"/>
      <c r="U488" s="107"/>
      <c r="V488" s="107"/>
      <c r="W488" s="107"/>
      <c r="X488" s="107"/>
      <c r="Y488" s="107"/>
      <c r="Z488" s="107"/>
      <c r="AA488" s="107"/>
      <c r="AB488" s="107"/>
      <c r="AC488" s="107"/>
      <c r="AD488" s="107"/>
      <c r="AE488" s="107"/>
      <c r="AF488" s="107"/>
      <c r="AG488" s="107"/>
      <c r="AH488" s="107"/>
      <c r="AI488" s="107"/>
      <c r="AJ488" s="107"/>
      <c r="AK488" s="107"/>
      <c r="AL488" s="107"/>
      <c r="AM488" s="107"/>
      <c r="AN488" s="107"/>
      <c r="AO488" s="107"/>
      <c r="AP488" s="107"/>
      <c r="AQ488" s="107"/>
      <c r="AR488" s="107"/>
      <c r="AS488" s="107"/>
      <c r="AT488" s="107"/>
      <c r="AU488" s="107"/>
      <c r="AV488" s="107"/>
      <c r="AW488" s="107"/>
      <c r="AX488" s="107"/>
      <c r="AY488" s="107"/>
      <c r="AZ488" s="107"/>
      <c r="BA488" s="107"/>
      <c r="BB488" s="107"/>
    </row>
    <row r="489" spans="1:54" x14ac:dyDescent="0.25">
      <c r="A489" s="157"/>
      <c r="B489" s="158"/>
      <c r="C489" s="158"/>
      <c r="D489" s="158"/>
      <c r="E489" s="91"/>
      <c r="F489" s="91"/>
      <c r="G489" s="107"/>
      <c r="H489" s="107"/>
      <c r="I489" s="107"/>
      <c r="J489" s="107"/>
      <c r="K489" s="107"/>
      <c r="L489" s="107"/>
      <c r="M489" s="107"/>
      <c r="N489" s="107"/>
      <c r="O489" s="107"/>
      <c r="P489" s="107"/>
      <c r="Q489" s="107"/>
      <c r="R489" s="107"/>
      <c r="S489" s="107"/>
      <c r="T489" s="107"/>
      <c r="U489" s="107"/>
      <c r="V489" s="107"/>
      <c r="W489" s="107"/>
      <c r="X489" s="107"/>
      <c r="Y489" s="107"/>
      <c r="Z489" s="107"/>
      <c r="AA489" s="107"/>
      <c r="AB489" s="107"/>
      <c r="AC489" s="107"/>
      <c r="AD489" s="107"/>
      <c r="AE489" s="107"/>
      <c r="AF489" s="107"/>
      <c r="AG489" s="107"/>
      <c r="AH489" s="107"/>
      <c r="AI489" s="107"/>
      <c r="AJ489" s="107"/>
      <c r="AK489" s="107"/>
      <c r="AL489" s="107"/>
      <c r="AM489" s="107"/>
      <c r="AN489" s="107"/>
      <c r="AO489" s="107"/>
      <c r="AP489" s="107"/>
      <c r="AQ489" s="107"/>
      <c r="AR489" s="107"/>
      <c r="AS489" s="107"/>
      <c r="AT489" s="107"/>
      <c r="AU489" s="107"/>
      <c r="AV489" s="107"/>
      <c r="AW489" s="107"/>
      <c r="AX489" s="107"/>
      <c r="AY489" s="107"/>
      <c r="AZ489" s="107"/>
      <c r="BA489" s="107"/>
      <c r="BB489" s="107"/>
    </row>
    <row r="490" spans="1:54" x14ac:dyDescent="0.25">
      <c r="A490" s="159" t="s">
        <v>813</v>
      </c>
      <c r="B490" s="76"/>
      <c r="C490" s="8"/>
      <c r="D490" s="8"/>
      <c r="E490" s="107"/>
      <c r="F490" s="91"/>
      <c r="G490" s="107"/>
      <c r="H490" s="107"/>
      <c r="I490" s="107"/>
      <c r="J490" s="107"/>
      <c r="K490" s="107"/>
      <c r="L490" s="107"/>
      <c r="M490" s="107"/>
      <c r="N490" s="107"/>
      <c r="O490" s="107"/>
      <c r="P490" s="107"/>
      <c r="Q490" s="107"/>
      <c r="R490" s="107"/>
      <c r="S490" s="107"/>
      <c r="T490" s="107"/>
      <c r="U490" s="107"/>
      <c r="V490" s="107"/>
      <c r="W490" s="107"/>
      <c r="X490" s="107"/>
      <c r="Y490" s="107"/>
      <c r="Z490" s="107"/>
      <c r="AA490" s="107"/>
      <c r="AB490" s="107"/>
      <c r="AC490" s="107"/>
      <c r="AD490" s="107"/>
      <c r="AE490" s="107"/>
      <c r="AF490" s="107"/>
      <c r="AG490" s="107"/>
      <c r="AH490" s="107"/>
      <c r="AI490" s="107"/>
      <c r="AJ490" s="107"/>
      <c r="AK490" s="107"/>
      <c r="AL490" s="107"/>
      <c r="AM490" s="107"/>
      <c r="AN490" s="107"/>
      <c r="AO490" s="107"/>
      <c r="AP490" s="107"/>
      <c r="AQ490" s="107"/>
      <c r="AR490" s="107"/>
      <c r="AS490" s="107"/>
      <c r="AT490" s="107"/>
      <c r="AU490" s="107"/>
      <c r="AV490" s="107"/>
      <c r="AW490" s="107"/>
      <c r="AX490" s="107"/>
      <c r="AY490" s="107"/>
      <c r="AZ490" s="107"/>
      <c r="BA490" s="107"/>
      <c r="BB490" s="107"/>
    </row>
    <row r="491" spans="1:54" x14ac:dyDescent="0.25">
      <c r="A491" s="154" t="s">
        <v>569</v>
      </c>
      <c r="B491" s="8"/>
      <c r="C491" s="8">
        <v>1</v>
      </c>
      <c r="D491" s="8"/>
      <c r="E491" s="107"/>
      <c r="F491" s="91"/>
      <c r="G491" s="107"/>
      <c r="H491" s="107"/>
      <c r="I491" s="107"/>
      <c r="J491" s="107"/>
      <c r="K491" s="107"/>
      <c r="L491" s="107"/>
      <c r="M491" s="107"/>
      <c r="N491" s="107"/>
      <c r="O491" s="107"/>
      <c r="P491" s="107"/>
      <c r="Q491" s="107"/>
      <c r="R491" s="107"/>
      <c r="S491" s="107"/>
      <c r="T491" s="107"/>
      <c r="U491" s="107"/>
      <c r="V491" s="107"/>
      <c r="W491" s="107"/>
      <c r="X491" s="107"/>
      <c r="Y491" s="107"/>
      <c r="Z491" s="107"/>
      <c r="AA491" s="107"/>
      <c r="AB491" s="107"/>
      <c r="AC491" s="107"/>
      <c r="AD491" s="107"/>
      <c r="AE491" s="107"/>
      <c r="AF491" s="107"/>
      <c r="AG491" s="107"/>
      <c r="AH491" s="107"/>
      <c r="AI491" s="107"/>
      <c r="AJ491" s="107"/>
      <c r="AK491" s="107"/>
      <c r="AL491" s="107"/>
      <c r="AM491" s="107"/>
      <c r="AN491" s="107"/>
      <c r="AO491" s="107"/>
      <c r="AP491" s="107"/>
      <c r="AQ491" s="107"/>
      <c r="AR491" s="107"/>
      <c r="AS491" s="107"/>
      <c r="AT491" s="107"/>
      <c r="AU491" s="107"/>
      <c r="AV491" s="107"/>
      <c r="AW491" s="107"/>
      <c r="AX491" s="107"/>
      <c r="AY491" s="107"/>
      <c r="AZ491" s="107"/>
      <c r="BA491" s="107"/>
      <c r="BB491" s="107"/>
    </row>
    <row r="492" spans="1:54" x14ac:dyDescent="0.25">
      <c r="A492" s="154" t="s">
        <v>526</v>
      </c>
      <c r="B492" s="8">
        <v>450</v>
      </c>
      <c r="C492" s="8">
        <v>410</v>
      </c>
      <c r="D492" s="8">
        <v>100</v>
      </c>
      <c r="E492" s="107"/>
      <c r="F492" s="91"/>
      <c r="G492" s="107"/>
      <c r="H492" s="107"/>
      <c r="I492" s="107"/>
      <c r="J492" s="107"/>
      <c r="K492" s="107"/>
      <c r="L492" s="107"/>
      <c r="M492" s="107"/>
      <c r="N492" s="107"/>
      <c r="O492" s="107"/>
      <c r="P492" s="107"/>
      <c r="Q492" s="107"/>
      <c r="R492" s="107"/>
      <c r="S492" s="107"/>
      <c r="T492" s="107"/>
      <c r="U492" s="107"/>
      <c r="V492" s="107"/>
      <c r="W492" s="107"/>
      <c r="X492" s="107"/>
      <c r="Y492" s="107"/>
      <c r="Z492" s="107"/>
      <c r="AA492" s="107"/>
      <c r="AB492" s="107"/>
      <c r="AC492" s="107"/>
      <c r="AD492" s="107"/>
      <c r="AE492" s="107"/>
      <c r="AF492" s="107"/>
      <c r="AG492" s="107"/>
      <c r="AH492" s="107"/>
      <c r="AI492" s="107"/>
      <c r="AJ492" s="107"/>
      <c r="AK492" s="107"/>
      <c r="AL492" s="107"/>
      <c r="AM492" s="107"/>
      <c r="AN492" s="107"/>
      <c r="AO492" s="107"/>
      <c r="AP492" s="107"/>
      <c r="AQ492" s="107"/>
      <c r="AR492" s="107"/>
      <c r="AS492" s="107"/>
      <c r="AT492" s="107"/>
      <c r="AU492" s="107"/>
      <c r="AV492" s="107"/>
      <c r="AW492" s="107"/>
      <c r="AX492" s="107"/>
      <c r="AY492" s="107"/>
      <c r="AZ492" s="107"/>
      <c r="BA492" s="107"/>
      <c r="BB492" s="107"/>
    </row>
    <row r="493" spans="1:54" x14ac:dyDescent="0.25">
      <c r="A493" s="154" t="s">
        <v>527</v>
      </c>
      <c r="B493" s="8">
        <v>250</v>
      </c>
      <c r="C493" s="8">
        <v>150</v>
      </c>
      <c r="D493" s="8"/>
      <c r="E493" s="107"/>
      <c r="F493" s="91"/>
      <c r="G493" s="107"/>
      <c r="H493" s="107"/>
      <c r="I493" s="107"/>
      <c r="J493" s="107"/>
      <c r="K493" s="107"/>
      <c r="L493" s="107"/>
      <c r="M493" s="107"/>
      <c r="N493" s="107"/>
      <c r="O493" s="107"/>
      <c r="P493" s="107"/>
      <c r="Q493" s="107"/>
      <c r="R493" s="107"/>
      <c r="S493" s="107"/>
      <c r="T493" s="107"/>
      <c r="U493" s="107"/>
      <c r="V493" s="107"/>
      <c r="W493" s="107"/>
      <c r="X493" s="107"/>
      <c r="Y493" s="107"/>
      <c r="Z493" s="107"/>
      <c r="AA493" s="107"/>
      <c r="AB493" s="107"/>
      <c r="AC493" s="107"/>
      <c r="AD493" s="107"/>
      <c r="AE493" s="107"/>
      <c r="AF493" s="107"/>
      <c r="AG493" s="107"/>
      <c r="AH493" s="107"/>
      <c r="AI493" s="107"/>
      <c r="AJ493" s="107"/>
      <c r="AK493" s="107"/>
      <c r="AL493" s="107"/>
      <c r="AM493" s="107"/>
      <c r="AN493" s="107"/>
      <c r="AO493" s="107"/>
      <c r="AP493" s="107"/>
      <c r="AQ493" s="107"/>
      <c r="AR493" s="107"/>
      <c r="AS493" s="107"/>
      <c r="AT493" s="107"/>
      <c r="AU493" s="107"/>
      <c r="AV493" s="107"/>
      <c r="AW493" s="107"/>
      <c r="AX493" s="107"/>
      <c r="AY493" s="107"/>
      <c r="AZ493" s="107"/>
      <c r="BA493" s="107"/>
      <c r="BB493" s="107"/>
    </row>
    <row r="494" spans="1:54" x14ac:dyDescent="0.25">
      <c r="A494" s="154" t="s">
        <v>525</v>
      </c>
      <c r="B494" s="8"/>
      <c r="C494" s="8">
        <v>100</v>
      </c>
      <c r="D494" s="8"/>
      <c r="E494" s="107"/>
      <c r="F494" s="91"/>
      <c r="G494" s="107"/>
      <c r="H494" s="107"/>
      <c r="I494" s="107"/>
      <c r="J494" s="107"/>
      <c r="K494" s="107"/>
      <c r="L494" s="107"/>
      <c r="M494" s="107"/>
      <c r="N494" s="107"/>
      <c r="O494" s="107"/>
      <c r="P494" s="107"/>
      <c r="Q494" s="107"/>
      <c r="R494" s="107"/>
      <c r="S494" s="107"/>
      <c r="T494" s="107"/>
      <c r="U494" s="107"/>
      <c r="V494" s="107"/>
      <c r="W494" s="107"/>
      <c r="X494" s="107"/>
      <c r="Y494" s="107"/>
      <c r="Z494" s="107"/>
      <c r="AA494" s="107"/>
      <c r="AB494" s="107"/>
      <c r="AC494" s="107"/>
      <c r="AD494" s="107"/>
      <c r="AE494" s="107"/>
      <c r="AF494" s="107"/>
      <c r="AG494" s="107"/>
      <c r="AH494" s="107"/>
      <c r="AI494" s="107"/>
      <c r="AJ494" s="107"/>
      <c r="AK494" s="107"/>
      <c r="AL494" s="107"/>
      <c r="AM494" s="107"/>
      <c r="AN494" s="107"/>
      <c r="AO494" s="107"/>
      <c r="AP494" s="107"/>
      <c r="AQ494" s="107"/>
      <c r="AR494" s="107"/>
      <c r="AS494" s="107"/>
      <c r="AT494" s="107"/>
      <c r="AU494" s="107"/>
      <c r="AV494" s="107"/>
      <c r="AW494" s="107"/>
      <c r="AX494" s="107"/>
      <c r="AY494" s="107"/>
      <c r="AZ494" s="107"/>
      <c r="BA494" s="107"/>
      <c r="BB494" s="107"/>
    </row>
    <row r="495" spans="1:54" ht="15" x14ac:dyDescent="0.25">
      <c r="A495" s="154" t="s">
        <v>513</v>
      </c>
      <c r="B495" s="8">
        <v>7</v>
      </c>
      <c r="C495" s="106">
        <v>8</v>
      </c>
      <c r="D495" s="107">
        <v>1</v>
      </c>
      <c r="E495" s="107"/>
      <c r="F495" s="91"/>
      <c r="G495" s="107"/>
      <c r="H495" s="107"/>
      <c r="I495" s="107"/>
      <c r="J495" s="107"/>
      <c r="K495" s="107"/>
      <c r="L495" s="107"/>
      <c r="M495" s="107"/>
      <c r="N495" s="107"/>
      <c r="O495" s="107"/>
      <c r="P495" s="107"/>
      <c r="Q495" s="107"/>
      <c r="R495" s="107"/>
      <c r="S495" s="107"/>
      <c r="T495" s="107"/>
      <c r="U495" s="107"/>
      <c r="V495" s="107"/>
      <c r="W495" s="107"/>
      <c r="X495" s="107"/>
      <c r="Y495" s="107"/>
      <c r="Z495" s="107"/>
      <c r="AA495" s="107"/>
      <c r="AB495" s="107"/>
      <c r="AC495" s="107"/>
      <c r="AD495" s="107"/>
      <c r="AE495" s="107"/>
      <c r="AF495" s="107"/>
      <c r="AG495" s="107"/>
      <c r="AH495" s="107"/>
      <c r="AI495" s="107"/>
      <c r="AJ495" s="107"/>
      <c r="AK495" s="107"/>
      <c r="AL495" s="107"/>
      <c r="AM495" s="107"/>
      <c r="AN495" s="107"/>
      <c r="AO495" s="107"/>
      <c r="AP495" s="107"/>
      <c r="AQ495" s="107"/>
      <c r="AR495" s="107"/>
      <c r="AS495" s="107"/>
      <c r="AT495" s="107"/>
      <c r="AU495" s="107"/>
      <c r="AV495" s="107"/>
      <c r="AW495" s="107"/>
      <c r="AX495" s="107"/>
      <c r="AY495" s="107"/>
      <c r="AZ495" s="107"/>
      <c r="BA495" s="107"/>
      <c r="BB495" s="107"/>
    </row>
    <row r="496" spans="1:54" ht="15" x14ac:dyDescent="0.25">
      <c r="A496" s="154" t="s">
        <v>426</v>
      </c>
      <c r="B496" s="8"/>
      <c r="C496" s="106">
        <v>2</v>
      </c>
      <c r="D496" s="107"/>
      <c r="E496" s="107"/>
      <c r="F496" s="91"/>
      <c r="G496" s="107"/>
      <c r="H496" s="107"/>
      <c r="I496" s="107"/>
      <c r="J496" s="107"/>
      <c r="K496" s="107"/>
      <c r="L496" s="107"/>
      <c r="M496" s="107"/>
      <c r="N496" s="107"/>
      <c r="O496" s="107"/>
      <c r="P496" s="107"/>
      <c r="Q496" s="107"/>
      <c r="R496" s="107"/>
      <c r="S496" s="107"/>
      <c r="T496" s="107"/>
      <c r="U496" s="107"/>
      <c r="V496" s="107"/>
      <c r="W496" s="107"/>
      <c r="X496" s="107"/>
      <c r="Y496" s="107"/>
      <c r="Z496" s="107"/>
      <c r="AA496" s="107"/>
      <c r="AB496" s="107"/>
      <c r="AC496" s="107"/>
      <c r="AD496" s="107"/>
      <c r="AE496" s="107"/>
      <c r="AF496" s="107"/>
      <c r="AG496" s="107"/>
      <c r="AH496" s="107"/>
      <c r="AI496" s="107"/>
      <c r="AJ496" s="107"/>
      <c r="AK496" s="107"/>
      <c r="AL496" s="107"/>
      <c r="AM496" s="107"/>
      <c r="AN496" s="107"/>
      <c r="AO496" s="107"/>
      <c r="AP496" s="107"/>
      <c r="AQ496" s="107"/>
      <c r="AR496" s="107"/>
      <c r="AS496" s="107"/>
      <c r="AT496" s="107"/>
      <c r="AU496" s="107"/>
      <c r="AV496" s="107"/>
      <c r="AW496" s="107"/>
      <c r="AX496" s="107"/>
      <c r="AY496" s="107"/>
      <c r="AZ496" s="107"/>
      <c r="BA496" s="107"/>
      <c r="BB496" s="107"/>
    </row>
    <row r="497" spans="1:54" ht="15" x14ac:dyDescent="0.25">
      <c r="A497" s="154" t="s">
        <v>500</v>
      </c>
      <c r="B497" s="8">
        <v>3</v>
      </c>
      <c r="C497" s="106">
        <v>2</v>
      </c>
      <c r="D497" s="107"/>
      <c r="E497" s="107"/>
      <c r="F497" s="91"/>
      <c r="G497" s="107"/>
      <c r="H497" s="107"/>
      <c r="I497" s="107"/>
      <c r="J497" s="107"/>
      <c r="K497" s="107"/>
      <c r="L497" s="107"/>
      <c r="M497" s="107"/>
      <c r="N497" s="107"/>
      <c r="O497" s="107"/>
      <c r="P497" s="107"/>
      <c r="Q497" s="107"/>
      <c r="R497" s="107"/>
      <c r="S497" s="107"/>
      <c r="T497" s="107"/>
      <c r="U497" s="107"/>
      <c r="V497" s="107"/>
      <c r="W497" s="107"/>
      <c r="X497" s="107"/>
      <c r="Y497" s="107"/>
      <c r="Z497" s="107"/>
      <c r="AA497" s="107"/>
      <c r="AB497" s="107"/>
      <c r="AC497" s="107"/>
      <c r="AD497" s="107"/>
      <c r="AE497" s="107"/>
      <c r="AF497" s="107"/>
      <c r="AG497" s="107"/>
      <c r="AH497" s="107"/>
      <c r="AI497" s="107"/>
      <c r="AJ497" s="107"/>
      <c r="AK497" s="107"/>
      <c r="AL497" s="107"/>
      <c r="AM497" s="107"/>
      <c r="AN497" s="107"/>
      <c r="AO497" s="107"/>
      <c r="AP497" s="107"/>
      <c r="AQ497" s="107"/>
      <c r="AR497" s="107"/>
      <c r="AS497" s="107"/>
      <c r="AT497" s="107"/>
      <c r="AU497" s="107"/>
      <c r="AV497" s="107"/>
      <c r="AW497" s="107"/>
      <c r="AX497" s="107"/>
      <c r="AY497" s="107"/>
      <c r="AZ497" s="107"/>
      <c r="BA497" s="107"/>
      <c r="BB497" s="107"/>
    </row>
    <row r="498" spans="1:54" ht="15" x14ac:dyDescent="0.25">
      <c r="A498" s="154" t="s">
        <v>497</v>
      </c>
      <c r="B498" s="8">
        <v>80</v>
      </c>
      <c r="C498" s="106"/>
      <c r="D498" s="107"/>
      <c r="E498" s="107"/>
      <c r="F498" s="91"/>
      <c r="G498" s="107"/>
      <c r="H498" s="107"/>
      <c r="I498" s="107"/>
      <c r="J498" s="107"/>
      <c r="K498" s="107"/>
      <c r="L498" s="107"/>
      <c r="M498" s="107"/>
      <c r="N498" s="107"/>
      <c r="O498" s="107"/>
      <c r="P498" s="107"/>
      <c r="Q498" s="107"/>
      <c r="R498" s="107"/>
      <c r="S498" s="107"/>
      <c r="T498" s="107"/>
      <c r="U498" s="107"/>
      <c r="V498" s="107"/>
      <c r="W498" s="107"/>
      <c r="X498" s="107"/>
      <c r="Y498" s="107"/>
      <c r="Z498" s="107"/>
      <c r="AA498" s="107"/>
      <c r="AB498" s="107"/>
      <c r="AC498" s="107"/>
      <c r="AD498" s="107"/>
      <c r="AE498" s="107"/>
      <c r="AF498" s="107"/>
      <c r="AG498" s="107"/>
      <c r="AH498" s="107"/>
      <c r="AI498" s="107"/>
      <c r="AJ498" s="107"/>
      <c r="AK498" s="107"/>
      <c r="AL498" s="107"/>
      <c r="AM498" s="107"/>
      <c r="AN498" s="107"/>
      <c r="AO498" s="107"/>
      <c r="AP498" s="107"/>
      <c r="AQ498" s="107"/>
      <c r="AR498" s="107"/>
      <c r="AS498" s="107"/>
      <c r="AT498" s="107"/>
      <c r="AU498" s="107"/>
      <c r="AV498" s="107"/>
      <c r="AW498" s="107"/>
      <c r="AX498" s="107"/>
      <c r="AY498" s="107"/>
      <c r="AZ498" s="107"/>
      <c r="BA498" s="107"/>
      <c r="BB498" s="107"/>
    </row>
    <row r="499" spans="1:54" ht="15" x14ac:dyDescent="0.25">
      <c r="A499" s="154" t="s">
        <v>413</v>
      </c>
      <c r="B499" s="8">
        <v>4</v>
      </c>
      <c r="C499" s="106">
        <v>4</v>
      </c>
      <c r="D499" s="107"/>
      <c r="E499" s="107"/>
      <c r="F499" s="91"/>
      <c r="G499" s="107"/>
      <c r="H499" s="107"/>
      <c r="I499" s="107"/>
      <c r="J499" s="107"/>
      <c r="K499" s="107"/>
      <c r="L499" s="107"/>
      <c r="M499" s="107"/>
      <c r="N499" s="107"/>
      <c r="O499" s="107"/>
      <c r="P499" s="107"/>
      <c r="Q499" s="107"/>
      <c r="R499" s="107"/>
      <c r="S499" s="107"/>
      <c r="T499" s="107"/>
      <c r="U499" s="107"/>
      <c r="V499" s="107"/>
      <c r="W499" s="107"/>
      <c r="X499" s="107"/>
      <c r="Y499" s="107"/>
      <c r="Z499" s="107"/>
      <c r="AA499" s="107"/>
      <c r="AB499" s="107"/>
      <c r="AC499" s="107"/>
      <c r="AD499" s="107"/>
      <c r="AE499" s="107"/>
      <c r="AF499" s="107"/>
      <c r="AG499" s="107"/>
      <c r="AH499" s="107"/>
      <c r="AI499" s="107"/>
      <c r="AJ499" s="107"/>
      <c r="AK499" s="107"/>
      <c r="AL499" s="107"/>
      <c r="AM499" s="107"/>
      <c r="AN499" s="107"/>
      <c r="AO499" s="107"/>
      <c r="AP499" s="107"/>
      <c r="AQ499" s="107"/>
      <c r="AR499" s="107"/>
      <c r="AS499" s="107"/>
      <c r="AT499" s="107"/>
      <c r="AU499" s="107"/>
      <c r="AV499" s="107"/>
      <c r="AW499" s="107"/>
      <c r="AX499" s="107"/>
      <c r="AY499" s="107"/>
      <c r="AZ499" s="107"/>
      <c r="BA499" s="107"/>
      <c r="BB499" s="107"/>
    </row>
    <row r="500" spans="1:54" ht="15" x14ac:dyDescent="0.25">
      <c r="A500" s="154" t="s">
        <v>568</v>
      </c>
      <c r="B500" s="8">
        <v>1</v>
      </c>
      <c r="C500" s="106">
        <v>1</v>
      </c>
      <c r="D500" s="107"/>
      <c r="E500" s="107"/>
      <c r="F500" s="91"/>
      <c r="G500" s="107"/>
      <c r="H500" s="107"/>
      <c r="I500" s="107"/>
      <c r="J500" s="107"/>
      <c r="K500" s="107"/>
      <c r="L500" s="107"/>
      <c r="M500" s="107"/>
      <c r="N500" s="107"/>
      <c r="O500" s="107"/>
      <c r="P500" s="107"/>
      <c r="Q500" s="107"/>
      <c r="R500" s="107"/>
      <c r="S500" s="107"/>
      <c r="T500" s="107"/>
      <c r="U500" s="107"/>
      <c r="V500" s="107"/>
      <c r="W500" s="107"/>
      <c r="X500" s="107"/>
      <c r="Y500" s="107"/>
      <c r="Z500" s="107"/>
      <c r="AA500" s="107"/>
      <c r="AB500" s="107"/>
      <c r="AC500" s="107"/>
      <c r="AD500" s="107"/>
      <c r="AE500" s="107"/>
      <c r="AF500" s="107"/>
      <c r="AG500" s="107"/>
      <c r="AH500" s="107"/>
      <c r="AI500" s="107"/>
      <c r="AJ500" s="107"/>
      <c r="AK500" s="107"/>
      <c r="AL500" s="107"/>
      <c r="AM500" s="107"/>
      <c r="AN500" s="107"/>
      <c r="AO500" s="107"/>
      <c r="AP500" s="107"/>
      <c r="AQ500" s="107"/>
      <c r="AR500" s="107"/>
      <c r="AS500" s="107"/>
      <c r="AT500" s="107"/>
      <c r="AU500" s="107"/>
      <c r="AV500" s="107"/>
      <c r="AW500" s="107"/>
      <c r="AX500" s="107"/>
      <c r="AY500" s="107"/>
      <c r="AZ500" s="107"/>
      <c r="BA500" s="107"/>
      <c r="BB500" s="107"/>
    </row>
    <row r="501" spans="1:54" ht="15" x14ac:dyDescent="0.25">
      <c r="A501" s="154" t="s">
        <v>428</v>
      </c>
      <c r="B501" s="8">
        <v>1</v>
      </c>
      <c r="C501" s="106"/>
      <c r="D501" s="107"/>
      <c r="E501" s="107"/>
      <c r="F501" s="91"/>
      <c r="G501" s="107"/>
      <c r="H501" s="107"/>
      <c r="I501" s="107"/>
      <c r="J501" s="107"/>
      <c r="K501" s="107"/>
      <c r="L501" s="107"/>
      <c r="M501" s="107"/>
      <c r="N501" s="107"/>
      <c r="O501" s="107"/>
      <c r="P501" s="107"/>
      <c r="Q501" s="107"/>
      <c r="R501" s="107"/>
      <c r="S501" s="107"/>
      <c r="T501" s="107"/>
      <c r="U501" s="107"/>
      <c r="V501" s="107"/>
      <c r="W501" s="107"/>
      <c r="X501" s="107"/>
      <c r="Y501" s="107"/>
      <c r="Z501" s="107"/>
      <c r="AA501" s="107"/>
      <c r="AB501" s="107"/>
      <c r="AC501" s="107"/>
      <c r="AD501" s="107"/>
      <c r="AE501" s="107"/>
      <c r="AF501" s="107"/>
      <c r="AG501" s="107"/>
      <c r="AH501" s="107"/>
      <c r="AI501" s="107"/>
      <c r="AJ501" s="107"/>
      <c r="AK501" s="107"/>
      <c r="AL501" s="107"/>
      <c r="AM501" s="107"/>
      <c r="AN501" s="107"/>
      <c r="AO501" s="107"/>
      <c r="AP501" s="107"/>
      <c r="AQ501" s="107"/>
      <c r="AR501" s="107"/>
      <c r="AS501" s="107"/>
      <c r="AT501" s="107"/>
      <c r="AU501" s="107"/>
      <c r="AV501" s="107"/>
      <c r="AW501" s="107"/>
      <c r="AX501" s="107"/>
      <c r="AY501" s="107"/>
      <c r="AZ501" s="107"/>
      <c r="BA501" s="107"/>
      <c r="BB501" s="107"/>
    </row>
    <row r="502" spans="1:54" ht="15" x14ac:dyDescent="0.25">
      <c r="A502" s="154" t="s">
        <v>417</v>
      </c>
      <c r="B502" s="8"/>
      <c r="C502" s="106"/>
      <c r="D502" s="107">
        <v>1</v>
      </c>
      <c r="E502" s="107"/>
      <c r="F502" s="91"/>
      <c r="G502" s="107"/>
      <c r="H502" s="107"/>
      <c r="I502" s="107"/>
      <c r="J502" s="107"/>
      <c r="K502" s="107"/>
      <c r="L502" s="107"/>
      <c r="M502" s="107"/>
      <c r="N502" s="107"/>
      <c r="O502" s="107"/>
      <c r="P502" s="107"/>
      <c r="Q502" s="107"/>
      <c r="R502" s="107"/>
      <c r="S502" s="107"/>
      <c r="T502" s="107"/>
      <c r="U502" s="107"/>
      <c r="V502" s="107"/>
      <c r="W502" s="107"/>
      <c r="X502" s="107"/>
      <c r="Y502" s="107"/>
      <c r="Z502" s="107"/>
      <c r="AA502" s="107"/>
      <c r="AB502" s="107"/>
      <c r="AC502" s="107"/>
      <c r="AD502" s="107"/>
      <c r="AE502" s="107"/>
      <c r="AF502" s="107"/>
      <c r="AG502" s="107"/>
      <c r="AH502" s="107"/>
      <c r="AI502" s="107"/>
      <c r="AJ502" s="107"/>
      <c r="AK502" s="107"/>
      <c r="AL502" s="107"/>
      <c r="AM502" s="107"/>
      <c r="AN502" s="107"/>
      <c r="AO502" s="107"/>
      <c r="AP502" s="107"/>
      <c r="AQ502" s="107"/>
      <c r="AR502" s="107"/>
      <c r="AS502" s="107"/>
      <c r="AT502" s="107"/>
      <c r="AU502" s="107"/>
      <c r="AV502" s="107"/>
      <c r="AW502" s="107"/>
      <c r="AX502" s="107"/>
      <c r="AY502" s="107"/>
      <c r="AZ502" s="107"/>
      <c r="BA502" s="107"/>
      <c r="BB502" s="107"/>
    </row>
    <row r="503" spans="1:54" ht="15" x14ac:dyDescent="0.25">
      <c r="A503" s="154"/>
      <c r="B503" s="8"/>
      <c r="C503" s="106"/>
      <c r="D503" s="107"/>
      <c r="E503" s="107"/>
      <c r="F503" s="91"/>
      <c r="G503" s="107"/>
      <c r="H503" s="107"/>
      <c r="I503" s="107"/>
      <c r="J503" s="107"/>
      <c r="K503" s="107"/>
      <c r="L503" s="107"/>
      <c r="M503" s="107"/>
      <c r="N503" s="107"/>
      <c r="O503" s="107"/>
      <c r="P503" s="107"/>
      <c r="Q503" s="107"/>
      <c r="R503" s="107"/>
      <c r="S503" s="107"/>
      <c r="T503" s="107"/>
      <c r="U503" s="107"/>
      <c r="V503" s="107"/>
      <c r="W503" s="107"/>
      <c r="X503" s="107"/>
      <c r="Y503" s="107"/>
      <c r="Z503" s="107"/>
      <c r="AA503" s="107"/>
      <c r="AB503" s="107"/>
      <c r="AC503" s="107"/>
      <c r="AD503" s="107"/>
      <c r="AE503" s="107"/>
      <c r="AF503" s="107"/>
      <c r="AG503" s="107"/>
      <c r="AH503" s="107"/>
      <c r="AI503" s="107"/>
      <c r="AJ503" s="107"/>
      <c r="AK503" s="107"/>
      <c r="AL503" s="107"/>
      <c r="AM503" s="107"/>
      <c r="AN503" s="107"/>
      <c r="AO503" s="107"/>
      <c r="AP503" s="107"/>
      <c r="AQ503" s="107"/>
      <c r="AR503" s="107"/>
      <c r="AS503" s="107"/>
      <c r="AT503" s="107"/>
      <c r="AU503" s="107"/>
      <c r="AV503" s="107"/>
      <c r="AW503" s="107"/>
      <c r="AX503" s="107"/>
      <c r="AY503" s="107"/>
      <c r="AZ503" s="107"/>
      <c r="BA503" s="107"/>
      <c r="BB503" s="107"/>
    </row>
    <row r="504" spans="1:54" ht="15" x14ac:dyDescent="0.25">
      <c r="A504" s="76" t="s">
        <v>829</v>
      </c>
      <c r="B504" s="76"/>
      <c r="C504" s="106"/>
      <c r="D504" s="107"/>
      <c r="E504" s="107"/>
      <c r="F504" s="91"/>
      <c r="G504" s="107"/>
      <c r="H504" s="107"/>
      <c r="I504" s="107"/>
      <c r="J504" s="107"/>
      <c r="K504" s="107"/>
      <c r="L504" s="107"/>
      <c r="M504" s="107"/>
      <c r="N504" s="107"/>
      <c r="O504" s="107"/>
      <c r="P504" s="107"/>
      <c r="Q504" s="107"/>
      <c r="R504" s="107"/>
      <c r="S504" s="107"/>
      <c r="T504" s="107"/>
      <c r="U504" s="107"/>
      <c r="V504" s="107"/>
      <c r="W504" s="107"/>
      <c r="X504" s="107"/>
      <c r="Y504" s="107"/>
      <c r="Z504" s="107"/>
      <c r="AA504" s="107"/>
      <c r="AB504" s="107"/>
      <c r="AC504" s="107"/>
      <c r="AD504" s="107"/>
      <c r="AE504" s="107"/>
      <c r="AF504" s="107"/>
      <c r="AG504" s="107"/>
      <c r="AH504" s="107"/>
      <c r="AI504" s="107"/>
      <c r="AJ504" s="107"/>
      <c r="AK504" s="107"/>
      <c r="AL504" s="107"/>
      <c r="AM504" s="107"/>
      <c r="AN504" s="107"/>
      <c r="AO504" s="107"/>
      <c r="AP504" s="107"/>
      <c r="AQ504" s="107"/>
      <c r="AR504" s="107"/>
      <c r="AS504" s="107"/>
      <c r="AT504" s="107"/>
      <c r="AU504" s="107"/>
      <c r="AV504" s="107"/>
      <c r="AW504" s="107"/>
      <c r="AX504" s="107"/>
      <c r="AY504" s="107"/>
      <c r="AZ504" s="107"/>
      <c r="BA504" s="107"/>
      <c r="BB504" s="107"/>
    </row>
    <row r="505" spans="1:54" ht="15" x14ac:dyDescent="0.25">
      <c r="A505" s="154" t="s">
        <v>473</v>
      </c>
      <c r="B505" s="8">
        <v>1</v>
      </c>
      <c r="C505" s="106"/>
      <c r="D505" s="107"/>
      <c r="E505" s="107"/>
      <c r="F505" s="91"/>
      <c r="G505" s="107"/>
      <c r="H505" s="107"/>
      <c r="I505" s="107"/>
      <c r="J505" s="107"/>
      <c r="K505" s="107"/>
      <c r="L505" s="107"/>
      <c r="M505" s="107"/>
      <c r="N505" s="107"/>
      <c r="O505" s="107"/>
      <c r="P505" s="107"/>
      <c r="Q505" s="107"/>
      <c r="R505" s="107"/>
      <c r="S505" s="107"/>
      <c r="T505" s="107"/>
      <c r="U505" s="107"/>
      <c r="V505" s="107"/>
      <c r="W505" s="107"/>
      <c r="X505" s="107"/>
      <c r="Y505" s="107"/>
      <c r="Z505" s="107"/>
      <c r="AA505" s="107"/>
      <c r="AB505" s="107"/>
      <c r="AC505" s="107"/>
      <c r="AD505" s="107"/>
      <c r="AE505" s="107"/>
      <c r="AF505" s="107"/>
      <c r="AG505" s="107"/>
      <c r="AH505" s="107"/>
      <c r="AI505" s="107"/>
      <c r="AJ505" s="107"/>
      <c r="AK505" s="107"/>
      <c r="AL505" s="107"/>
      <c r="AM505" s="107"/>
      <c r="AN505" s="107"/>
      <c r="AO505" s="107"/>
      <c r="AP505" s="107"/>
      <c r="AQ505" s="107"/>
      <c r="AR505" s="107"/>
      <c r="AS505" s="107"/>
      <c r="AT505" s="107"/>
      <c r="AU505" s="107"/>
      <c r="AV505" s="107"/>
      <c r="AW505" s="107"/>
      <c r="AX505" s="107"/>
      <c r="AY505" s="107"/>
      <c r="AZ505" s="107"/>
      <c r="BA505" s="107"/>
      <c r="BB505" s="107"/>
    </row>
    <row r="506" spans="1:54" ht="15" x14ac:dyDescent="0.25">
      <c r="A506" s="154" t="s">
        <v>402</v>
      </c>
      <c r="B506" s="8">
        <v>1</v>
      </c>
      <c r="C506" s="106"/>
      <c r="D506" s="107"/>
      <c r="E506" s="107"/>
      <c r="F506" s="91"/>
      <c r="G506" s="107"/>
      <c r="H506" s="107"/>
      <c r="I506" s="107"/>
      <c r="J506" s="107"/>
      <c r="K506" s="107"/>
      <c r="L506" s="107"/>
      <c r="M506" s="107"/>
      <c r="N506" s="107"/>
      <c r="O506" s="107"/>
      <c r="P506" s="107"/>
      <c r="Q506" s="107"/>
      <c r="R506" s="107"/>
      <c r="S506" s="107"/>
      <c r="T506" s="107"/>
      <c r="U506" s="107"/>
      <c r="V506" s="107"/>
      <c r="W506" s="107"/>
      <c r="X506" s="107"/>
      <c r="Y506" s="107"/>
      <c r="Z506" s="107"/>
      <c r="AA506" s="107"/>
      <c r="AB506" s="107"/>
      <c r="AC506" s="107"/>
      <c r="AD506" s="107"/>
      <c r="AE506" s="107"/>
      <c r="AF506" s="107"/>
      <c r="AG506" s="107"/>
      <c r="AH506" s="107"/>
      <c r="AI506" s="107"/>
      <c r="AJ506" s="107"/>
      <c r="AK506" s="107"/>
      <c r="AL506" s="107"/>
      <c r="AM506" s="107"/>
      <c r="AN506" s="107"/>
      <c r="AO506" s="107"/>
      <c r="AP506" s="107"/>
      <c r="AQ506" s="107"/>
      <c r="AR506" s="107"/>
      <c r="AS506" s="107"/>
      <c r="AT506" s="107"/>
      <c r="AU506" s="107"/>
      <c r="AV506" s="107"/>
      <c r="AW506" s="107"/>
      <c r="AX506" s="107"/>
      <c r="AY506" s="107"/>
      <c r="AZ506" s="107"/>
      <c r="BA506" s="107"/>
      <c r="BB506" s="107"/>
    </row>
    <row r="507" spans="1:54" ht="15" x14ac:dyDescent="0.25">
      <c r="A507" s="154" t="s">
        <v>438</v>
      </c>
      <c r="B507" s="8">
        <v>1</v>
      </c>
      <c r="C507" s="106"/>
      <c r="D507" s="107"/>
      <c r="E507" s="107"/>
      <c r="F507" s="91"/>
      <c r="G507" s="107"/>
      <c r="H507" s="107"/>
      <c r="I507" s="107"/>
      <c r="J507" s="107"/>
      <c r="K507" s="107"/>
      <c r="L507" s="107"/>
      <c r="M507" s="107"/>
      <c r="N507" s="107"/>
      <c r="O507" s="107"/>
      <c r="P507" s="107"/>
      <c r="Q507" s="107"/>
      <c r="R507" s="107"/>
      <c r="S507" s="107"/>
      <c r="T507" s="107"/>
      <c r="U507" s="107"/>
      <c r="V507" s="107"/>
      <c r="W507" s="107"/>
      <c r="X507" s="107"/>
      <c r="Y507" s="107"/>
      <c r="Z507" s="107"/>
      <c r="AA507" s="107"/>
      <c r="AB507" s="107"/>
      <c r="AC507" s="107"/>
      <c r="AD507" s="107"/>
      <c r="AE507" s="107"/>
      <c r="AF507" s="107"/>
      <c r="AG507" s="107"/>
      <c r="AH507" s="107"/>
      <c r="AI507" s="107"/>
      <c r="AJ507" s="107"/>
      <c r="AK507" s="107"/>
      <c r="AL507" s="107"/>
      <c r="AM507" s="107"/>
      <c r="AN507" s="107"/>
      <c r="AO507" s="107"/>
      <c r="AP507" s="107"/>
      <c r="AQ507" s="107"/>
      <c r="AR507" s="107"/>
      <c r="AS507" s="107"/>
      <c r="AT507" s="107"/>
      <c r="AU507" s="107"/>
      <c r="AV507" s="107"/>
      <c r="AW507" s="107"/>
      <c r="AX507" s="107"/>
      <c r="AY507" s="107"/>
      <c r="AZ507" s="107"/>
      <c r="BA507" s="107"/>
      <c r="BB507" s="107"/>
    </row>
    <row r="508" spans="1:54" ht="15" x14ac:dyDescent="0.25">
      <c r="A508" s="154" t="s">
        <v>428</v>
      </c>
      <c r="B508" s="8">
        <v>1</v>
      </c>
      <c r="C508" s="106"/>
      <c r="D508" s="8"/>
      <c r="E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row>
    <row r="509" spans="1:54" ht="15" x14ac:dyDescent="0.25">
      <c r="A509" s="154"/>
      <c r="B509" s="8"/>
      <c r="C509" s="106"/>
      <c r="D509" s="8"/>
      <c r="E509" s="8"/>
    </row>
    <row r="510" spans="1:54" ht="15" x14ac:dyDescent="0.25">
      <c r="A510" s="76" t="s">
        <v>814</v>
      </c>
      <c r="B510" s="76"/>
      <c r="C510" s="106"/>
      <c r="D510" s="8"/>
      <c r="E510" s="8"/>
    </row>
    <row r="511" spans="1:54" ht="15" x14ac:dyDescent="0.25">
      <c r="A511" s="154" t="s">
        <v>455</v>
      </c>
      <c r="B511" s="8">
        <v>4</v>
      </c>
      <c r="C511" s="106">
        <v>8</v>
      </c>
      <c r="D511" s="8"/>
      <c r="E511" s="8"/>
    </row>
    <row r="512" spans="1:54" ht="15" x14ac:dyDescent="0.25">
      <c r="A512" s="154" t="s">
        <v>413</v>
      </c>
      <c r="B512" s="8"/>
      <c r="C512" s="106">
        <v>4</v>
      </c>
      <c r="D512" s="8"/>
      <c r="E512" s="8"/>
    </row>
    <row r="513" spans="1:5" ht="15" x14ac:dyDescent="0.25">
      <c r="A513" s="154" t="s">
        <v>419</v>
      </c>
      <c r="B513" s="8"/>
      <c r="C513" s="106">
        <v>1</v>
      </c>
      <c r="D513" s="8"/>
      <c r="E513" s="8"/>
    </row>
    <row r="514" spans="1:5" ht="15" x14ac:dyDescent="0.25">
      <c r="A514" s="154"/>
      <c r="B514" s="8"/>
      <c r="C514" s="106"/>
      <c r="D514" s="8"/>
      <c r="E514" s="8"/>
    </row>
    <row r="515" spans="1:5" ht="15" x14ac:dyDescent="0.25">
      <c r="A515" s="76" t="s">
        <v>815</v>
      </c>
      <c r="B515" s="76"/>
      <c r="C515" s="106"/>
      <c r="D515" s="8"/>
      <c r="E515" s="8"/>
    </row>
    <row r="516" spans="1:5" ht="15" x14ac:dyDescent="0.25">
      <c r="A516" s="154" t="s">
        <v>455</v>
      </c>
      <c r="B516" s="8"/>
      <c r="C516" s="106">
        <v>1</v>
      </c>
      <c r="D516" s="8"/>
      <c r="E516" s="8"/>
    </row>
    <row r="517" spans="1:5" ht="15" x14ac:dyDescent="0.25">
      <c r="A517" s="154" t="s">
        <v>413</v>
      </c>
      <c r="B517" s="8"/>
      <c r="C517" s="106">
        <v>4</v>
      </c>
      <c r="D517" s="8">
        <v>3</v>
      </c>
      <c r="E517" s="8"/>
    </row>
    <row r="518" spans="1:5" ht="15" x14ac:dyDescent="0.25">
      <c r="A518" s="154" t="s">
        <v>426</v>
      </c>
      <c r="B518" s="8"/>
      <c r="C518" s="106">
        <v>1</v>
      </c>
      <c r="D518" s="8"/>
      <c r="E518" s="8"/>
    </row>
    <row r="519" spans="1:5" ht="15" x14ac:dyDescent="0.25">
      <c r="A519" s="154" t="s">
        <v>449</v>
      </c>
      <c r="B519" s="8"/>
      <c r="C519" s="106">
        <v>1</v>
      </c>
      <c r="D519" s="8"/>
      <c r="E519" s="8"/>
    </row>
    <row r="520" spans="1:5" ht="15" x14ac:dyDescent="0.25">
      <c r="A520" s="154" t="s">
        <v>557</v>
      </c>
      <c r="B520" s="8"/>
      <c r="C520" s="106"/>
      <c r="D520" s="8">
        <v>12</v>
      </c>
      <c r="E520" s="8"/>
    </row>
    <row r="521" spans="1:5" ht="15" x14ac:dyDescent="0.25">
      <c r="A521" s="154" t="s">
        <v>554</v>
      </c>
      <c r="B521" s="8"/>
      <c r="C521" s="106"/>
      <c r="D521" s="8">
        <v>10</v>
      </c>
      <c r="E521" s="8"/>
    </row>
    <row r="522" spans="1:5" ht="15" x14ac:dyDescent="0.25">
      <c r="A522" s="154" t="s">
        <v>576</v>
      </c>
      <c r="B522" s="8"/>
      <c r="C522" s="106"/>
      <c r="D522" s="8">
        <v>20</v>
      </c>
      <c r="E522" s="8"/>
    </row>
    <row r="523" spans="1:5" ht="15" x14ac:dyDescent="0.25">
      <c r="A523" s="154"/>
      <c r="B523" s="8"/>
      <c r="C523" s="160"/>
      <c r="D523" s="8"/>
      <c r="E523" s="8"/>
    </row>
    <row r="524" spans="1:5" ht="15" x14ac:dyDescent="0.25">
      <c r="A524" s="154"/>
      <c r="B524" s="8"/>
      <c r="C524" s="160"/>
      <c r="D524" s="8"/>
      <c r="E524" s="8"/>
    </row>
    <row r="525" spans="1:5" x14ac:dyDescent="0.25">
      <c r="A525" s="154"/>
      <c r="B525" s="8"/>
      <c r="C525" s="107"/>
      <c r="D525" s="8"/>
      <c r="E525" s="8"/>
    </row>
    <row r="526" spans="1:5" x14ac:dyDescent="0.25">
      <c r="A526" s="76" t="s">
        <v>816</v>
      </c>
      <c r="B526" s="76"/>
      <c r="C526" s="107"/>
      <c r="D526" s="8"/>
      <c r="E526" s="8"/>
    </row>
    <row r="527" spans="1:5" x14ac:dyDescent="0.25">
      <c r="A527" s="154" t="s">
        <v>438</v>
      </c>
      <c r="B527" s="8">
        <v>5</v>
      </c>
      <c r="C527" s="107"/>
      <c r="D527" s="8"/>
      <c r="E527" s="8"/>
    </row>
    <row r="528" spans="1:5" x14ac:dyDescent="0.25">
      <c r="A528" s="154" t="s">
        <v>428</v>
      </c>
      <c r="B528" s="8">
        <v>5</v>
      </c>
      <c r="C528" s="107"/>
      <c r="D528" s="8"/>
      <c r="E528" s="8"/>
    </row>
    <row r="529" spans="1:5" x14ac:dyDescent="0.25">
      <c r="A529" s="154" t="s">
        <v>433</v>
      </c>
      <c r="B529" s="8">
        <v>5</v>
      </c>
      <c r="C529" s="107"/>
      <c r="D529" s="8"/>
      <c r="E529" s="8"/>
    </row>
    <row r="530" spans="1:5" x14ac:dyDescent="0.25">
      <c r="A530" s="154" t="s">
        <v>611</v>
      </c>
      <c r="B530" s="8">
        <v>20</v>
      </c>
      <c r="C530" s="107"/>
      <c r="D530" s="8"/>
      <c r="E530" s="8"/>
    </row>
    <row r="531" spans="1:5" x14ac:dyDescent="0.25">
      <c r="A531" s="154" t="s">
        <v>427</v>
      </c>
      <c r="B531" s="8">
        <v>1</v>
      </c>
      <c r="C531" s="107"/>
      <c r="D531" s="8"/>
      <c r="E531" s="8"/>
    </row>
    <row r="532" spans="1:5" x14ac:dyDescent="0.25">
      <c r="A532" s="154" t="s">
        <v>447</v>
      </c>
      <c r="B532" s="8">
        <v>1</v>
      </c>
      <c r="C532" s="107"/>
      <c r="D532" s="8"/>
      <c r="E532" s="8"/>
    </row>
    <row r="533" spans="1:5" x14ac:dyDescent="0.25">
      <c r="A533" s="76" t="s">
        <v>817</v>
      </c>
      <c r="B533" s="76"/>
      <c r="C533" s="107"/>
      <c r="D533" s="8"/>
      <c r="E533" s="8"/>
    </row>
    <row r="534" spans="1:5" x14ac:dyDescent="0.25">
      <c r="A534" s="154" t="s">
        <v>433</v>
      </c>
      <c r="B534" s="8">
        <v>1</v>
      </c>
      <c r="C534" s="107"/>
      <c r="D534" s="8">
        <v>1</v>
      </c>
      <c r="E534" s="8"/>
    </row>
    <row r="535" spans="1:5" x14ac:dyDescent="0.25">
      <c r="A535" s="154" t="s">
        <v>438</v>
      </c>
      <c r="B535" s="8">
        <v>1</v>
      </c>
      <c r="C535" s="107"/>
      <c r="D535" s="8">
        <v>1</v>
      </c>
      <c r="E535" s="8"/>
    </row>
    <row r="536" spans="1:5" x14ac:dyDescent="0.25">
      <c r="A536" s="76" t="s">
        <v>818</v>
      </c>
      <c r="B536" s="76"/>
      <c r="C536" s="107"/>
      <c r="D536" s="8"/>
      <c r="E536" s="8"/>
    </row>
    <row r="537" spans="1:5" x14ac:dyDescent="0.25">
      <c r="A537" s="154" t="s">
        <v>428</v>
      </c>
      <c r="B537" s="8"/>
      <c r="C537" s="8">
        <v>2</v>
      </c>
      <c r="D537" s="8"/>
      <c r="E537" s="8"/>
    </row>
    <row r="538" spans="1:5" x14ac:dyDescent="0.25">
      <c r="A538" s="154"/>
      <c r="B538" s="8"/>
      <c r="C538" s="8"/>
      <c r="D538" s="8"/>
      <c r="E538" s="8"/>
    </row>
    <row r="539" spans="1:5" x14ac:dyDescent="0.25">
      <c r="A539" s="159" t="s">
        <v>819</v>
      </c>
      <c r="B539" s="76"/>
      <c r="C539" s="8"/>
      <c r="D539" s="8"/>
      <c r="E539" s="8"/>
    </row>
    <row r="540" spans="1:5" x14ac:dyDescent="0.25">
      <c r="A540" s="154" t="s">
        <v>440</v>
      </c>
      <c r="B540" s="8"/>
      <c r="C540" s="8">
        <v>1</v>
      </c>
      <c r="D540" s="8"/>
      <c r="E540" s="8"/>
    </row>
    <row r="541" spans="1:5" x14ac:dyDescent="0.25">
      <c r="A541" s="154"/>
      <c r="B541" s="8"/>
      <c r="C541" s="8"/>
      <c r="D541" s="8"/>
      <c r="E541" s="8"/>
    </row>
    <row r="542" spans="1:5" x14ac:dyDescent="0.25">
      <c r="A542" s="159" t="s">
        <v>820</v>
      </c>
      <c r="B542" s="76"/>
      <c r="C542" s="8"/>
      <c r="D542" s="8"/>
      <c r="E542" s="8"/>
    </row>
    <row r="543" spans="1:5" x14ac:dyDescent="0.25">
      <c r="A543" s="154" t="s">
        <v>519</v>
      </c>
      <c r="B543" s="8"/>
      <c r="C543" s="8">
        <v>100</v>
      </c>
      <c r="D543" s="8"/>
      <c r="E543" s="8"/>
    </row>
    <row r="544" spans="1:5" x14ac:dyDescent="0.25">
      <c r="A544" s="154" t="s">
        <v>518</v>
      </c>
      <c r="B544" s="8"/>
      <c r="C544" s="8">
        <v>400</v>
      </c>
      <c r="D544" s="8"/>
      <c r="E544" s="8"/>
    </row>
    <row r="545" spans="1:5" x14ac:dyDescent="0.25">
      <c r="A545" s="154" t="s">
        <v>545</v>
      </c>
      <c r="B545" s="8"/>
      <c r="C545" s="8"/>
      <c r="D545" s="8">
        <v>100</v>
      </c>
      <c r="E545" s="8"/>
    </row>
    <row r="546" spans="1:5" x14ac:dyDescent="0.25">
      <c r="A546" s="154" t="s">
        <v>510</v>
      </c>
      <c r="B546" s="8"/>
      <c r="C546" s="8"/>
      <c r="D546" s="8">
        <v>1</v>
      </c>
      <c r="E546" s="8"/>
    </row>
    <row r="547" spans="1:5" x14ac:dyDescent="0.25">
      <c r="A547" s="154" t="s">
        <v>536</v>
      </c>
      <c r="B547" s="8"/>
      <c r="C547" s="8"/>
      <c r="D547" s="8">
        <v>50</v>
      </c>
      <c r="E547" s="8"/>
    </row>
    <row r="548" spans="1:5" x14ac:dyDescent="0.25">
      <c r="A548" s="154"/>
      <c r="B548" s="8"/>
      <c r="C548" s="8"/>
      <c r="D548" s="8"/>
      <c r="E548" s="8"/>
    </row>
    <row r="549" spans="1:5" x14ac:dyDescent="0.25">
      <c r="A549" s="159" t="s">
        <v>821</v>
      </c>
      <c r="B549" s="76"/>
      <c r="C549" s="8"/>
      <c r="D549" s="8"/>
      <c r="E549" s="8"/>
    </row>
    <row r="550" spans="1:5" x14ac:dyDescent="0.25">
      <c r="A550" s="154" t="s">
        <v>440</v>
      </c>
      <c r="B550" s="8"/>
      <c r="C550" s="8">
        <v>3</v>
      </c>
      <c r="D550" s="8"/>
      <c r="E550" s="8"/>
    </row>
    <row r="551" spans="1:5" x14ac:dyDescent="0.25">
      <c r="A551" s="154"/>
      <c r="B551" s="8"/>
      <c r="C551" s="8"/>
      <c r="D551" s="8"/>
      <c r="E551" s="8"/>
    </row>
    <row r="552" spans="1:5" x14ac:dyDescent="0.25">
      <c r="A552" s="159" t="s">
        <v>822</v>
      </c>
      <c r="B552" s="76"/>
      <c r="C552" s="8"/>
      <c r="D552" s="8"/>
      <c r="E552" s="8"/>
    </row>
    <row r="553" spans="1:5" x14ac:dyDescent="0.25">
      <c r="A553" s="154" t="s">
        <v>475</v>
      </c>
      <c r="B553" s="8"/>
      <c r="C553" s="8">
        <v>1</v>
      </c>
      <c r="D553" s="8"/>
      <c r="E553" s="8"/>
    </row>
    <row r="554" spans="1:5" x14ac:dyDescent="0.25">
      <c r="A554" s="154" t="s">
        <v>419</v>
      </c>
      <c r="B554" s="8"/>
      <c r="C554" s="8">
        <v>1</v>
      </c>
      <c r="D554" s="8"/>
      <c r="E554" s="8"/>
    </row>
    <row r="555" spans="1:5" x14ac:dyDescent="0.25">
      <c r="A555" s="154" t="s">
        <v>598</v>
      </c>
      <c r="B555" s="8"/>
      <c r="C555" s="8">
        <v>1</v>
      </c>
      <c r="D555" s="8"/>
      <c r="E555" s="8"/>
    </row>
    <row r="556" spans="1:5" x14ac:dyDescent="0.25">
      <c r="A556" s="154"/>
      <c r="B556" s="8"/>
      <c r="C556" s="8"/>
      <c r="D556" s="8"/>
      <c r="E556" s="8"/>
    </row>
    <row r="557" spans="1:5" x14ac:dyDescent="0.25">
      <c r="A557" s="159" t="s">
        <v>823</v>
      </c>
      <c r="B557" s="76"/>
      <c r="C557" s="8"/>
      <c r="D557" s="8"/>
      <c r="E557" s="8"/>
    </row>
    <row r="558" spans="1:5" x14ac:dyDescent="0.25">
      <c r="A558" s="154" t="s">
        <v>438</v>
      </c>
      <c r="B558" s="8"/>
      <c r="C558" s="8">
        <v>10</v>
      </c>
      <c r="D558" s="8"/>
      <c r="E558" s="8"/>
    </row>
    <row r="559" spans="1:5" x14ac:dyDescent="0.25">
      <c r="A559" s="154"/>
      <c r="B559" s="8"/>
      <c r="C559" s="8"/>
      <c r="D559" s="8"/>
      <c r="E559" s="8"/>
    </row>
    <row r="560" spans="1:5" x14ac:dyDescent="0.25">
      <c r="A560" s="159" t="s">
        <v>824</v>
      </c>
      <c r="B560" s="76"/>
      <c r="C560" s="8"/>
      <c r="D560" s="8"/>
      <c r="E560" s="8"/>
    </row>
    <row r="561" spans="1:5" x14ac:dyDescent="0.25">
      <c r="A561" s="154" t="s">
        <v>455</v>
      </c>
      <c r="B561" s="8"/>
      <c r="C561" s="8"/>
      <c r="D561" s="8">
        <v>1</v>
      </c>
      <c r="E561" s="8"/>
    </row>
    <row r="562" spans="1:5" x14ac:dyDescent="0.25">
      <c r="A562" s="154" t="s">
        <v>450</v>
      </c>
      <c r="B562" s="8"/>
      <c r="C562" s="8"/>
      <c r="D562" s="8">
        <v>1</v>
      </c>
      <c r="E562" s="8"/>
    </row>
    <row r="563" spans="1:5" x14ac:dyDescent="0.25">
      <c r="A563" s="154" t="s">
        <v>463</v>
      </c>
      <c r="B563" s="8"/>
      <c r="C563" s="8"/>
      <c r="D563" s="8">
        <v>1</v>
      </c>
      <c r="E563" s="8"/>
    </row>
    <row r="564" spans="1:5" x14ac:dyDescent="0.25">
      <c r="A564" s="154"/>
      <c r="B564" s="8"/>
      <c r="C564" s="8"/>
      <c r="D564" s="8"/>
      <c r="E564" s="8"/>
    </row>
    <row r="565" spans="1:5" x14ac:dyDescent="0.25">
      <c r="A565" s="154"/>
      <c r="B565" s="8"/>
      <c r="C565" s="8"/>
      <c r="D565" s="8"/>
      <c r="E565" s="8"/>
    </row>
    <row r="566" spans="1:5" x14ac:dyDescent="0.25">
      <c r="A566" s="159" t="s">
        <v>825</v>
      </c>
      <c r="B566" s="76"/>
      <c r="C566" s="8"/>
      <c r="D566" s="8"/>
      <c r="E566" s="8"/>
    </row>
    <row r="567" spans="1:5" x14ac:dyDescent="0.25">
      <c r="A567" s="154" t="s">
        <v>450</v>
      </c>
      <c r="B567" s="8"/>
      <c r="C567" s="8"/>
      <c r="D567" s="8">
        <v>2</v>
      </c>
      <c r="E567" s="8"/>
    </row>
    <row r="568" spans="1:5" x14ac:dyDescent="0.25">
      <c r="A568" s="154" t="s">
        <v>453</v>
      </c>
      <c r="B568" s="8"/>
      <c r="C568" s="8"/>
      <c r="D568" s="8">
        <v>2</v>
      </c>
      <c r="E568" s="8"/>
    </row>
    <row r="569" spans="1:5" x14ac:dyDescent="0.25">
      <c r="A569" s="154" t="s">
        <v>433</v>
      </c>
      <c r="B569" s="8"/>
      <c r="C569" s="8"/>
      <c r="D569" s="8">
        <v>2</v>
      </c>
      <c r="E569" s="8"/>
    </row>
    <row r="570" spans="1:5" x14ac:dyDescent="0.25">
      <c r="A570" s="154" t="s">
        <v>429</v>
      </c>
      <c r="B570" s="8"/>
      <c r="C570" s="8"/>
      <c r="D570" s="8">
        <v>2</v>
      </c>
      <c r="E570" s="8"/>
    </row>
    <row r="571" spans="1:5" x14ac:dyDescent="0.25">
      <c r="A571" s="154"/>
      <c r="B571" s="8"/>
      <c r="C571" s="8"/>
      <c r="D571" s="8"/>
      <c r="E571" s="8"/>
    </row>
    <row r="572" spans="1:5" x14ac:dyDescent="0.25">
      <c r="A572" s="159" t="s">
        <v>826</v>
      </c>
      <c r="B572" s="76"/>
      <c r="C572" s="8"/>
      <c r="D572" s="8"/>
      <c r="E572" s="8"/>
    </row>
    <row r="573" spans="1:5" x14ac:dyDescent="0.25">
      <c r="A573" s="154" t="s">
        <v>429</v>
      </c>
      <c r="B573" s="8"/>
      <c r="C573" s="8"/>
      <c r="D573" s="8">
        <v>1</v>
      </c>
      <c r="E573" s="8"/>
    </row>
    <row r="574" spans="1:5" x14ac:dyDescent="0.25">
      <c r="A574" s="154"/>
      <c r="B574" s="8"/>
      <c r="C574" s="8"/>
      <c r="D574" s="8"/>
      <c r="E574" s="8"/>
    </row>
    <row r="575" spans="1:5" x14ac:dyDescent="0.25">
      <c r="A575" s="154"/>
      <c r="B575" s="8"/>
      <c r="C575" s="8"/>
      <c r="D575" s="8"/>
      <c r="E575" s="8"/>
    </row>
    <row r="576" spans="1:5" x14ac:dyDescent="0.25">
      <c r="A576" s="159" t="s">
        <v>827</v>
      </c>
      <c r="B576" s="76"/>
      <c r="C576" s="8"/>
      <c r="D576" s="8"/>
      <c r="E576" s="8"/>
    </row>
    <row r="577" spans="1:5" x14ac:dyDescent="0.25">
      <c r="A577" s="154"/>
      <c r="B577" s="8"/>
      <c r="C577" s="8"/>
      <c r="D577" s="8"/>
      <c r="E577" s="8"/>
    </row>
    <row r="578" spans="1:5" x14ac:dyDescent="0.25">
      <c r="A578" s="159" t="s">
        <v>828</v>
      </c>
      <c r="B578" s="76"/>
      <c r="C578" s="8"/>
      <c r="D578" s="8"/>
      <c r="E578" s="8"/>
    </row>
    <row r="579" spans="1:5" x14ac:dyDescent="0.25">
      <c r="A579" s="154"/>
      <c r="B579" s="8"/>
      <c r="C579" s="8"/>
      <c r="D579" s="8"/>
      <c r="E579" s="8"/>
    </row>
    <row r="580" spans="1:5" x14ac:dyDescent="0.25">
      <c r="A580" s="154"/>
      <c r="B580" s="8"/>
      <c r="C580" s="8"/>
      <c r="D580" s="8"/>
      <c r="E580" s="8"/>
    </row>
    <row r="581" spans="1:5" x14ac:dyDescent="0.25">
      <c r="A581" s="154"/>
      <c r="B581" s="8"/>
      <c r="C581" s="8"/>
      <c r="D581" s="8"/>
      <c r="E581" s="8"/>
    </row>
    <row r="582" spans="1:5" x14ac:dyDescent="0.25">
      <c r="A582" s="154"/>
      <c r="B582" s="8"/>
      <c r="C582" s="8"/>
      <c r="D582" s="8"/>
      <c r="E582" s="8"/>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7F08D-0D55-4AFA-AA7A-F1D0FEAB0FB7}">
  <dimension ref="A3:I286"/>
  <sheetViews>
    <sheetView tabSelected="1" topLeftCell="A22" workbookViewId="0">
      <selection activeCell="D38" sqref="D38"/>
    </sheetView>
  </sheetViews>
  <sheetFormatPr baseColWidth="10" defaultRowHeight="13.2" x14ac:dyDescent="0.25"/>
  <cols>
    <col min="1" max="1" width="28.5546875" customWidth="1"/>
    <col min="8" max="8" width="59.5546875" customWidth="1"/>
    <col min="9" max="9" width="9.33203125" customWidth="1"/>
    <col min="10" max="10" width="35.88671875" customWidth="1"/>
  </cols>
  <sheetData>
    <row r="3" spans="1:9" ht="17.399999999999999" x14ac:dyDescent="0.3">
      <c r="A3" s="78" t="s">
        <v>391</v>
      </c>
      <c r="B3" s="79" t="s">
        <v>716</v>
      </c>
      <c r="C3" s="134" t="s">
        <v>717</v>
      </c>
      <c r="D3" s="134" t="s">
        <v>718</v>
      </c>
      <c r="E3" s="134"/>
      <c r="F3" s="134" t="s">
        <v>230</v>
      </c>
      <c r="H3" s="94" t="s">
        <v>0</v>
      </c>
      <c r="I3" s="94" t="s">
        <v>391</v>
      </c>
    </row>
    <row r="4" spans="1:9" ht="17.399999999999999" x14ac:dyDescent="0.3">
      <c r="A4" s="69" t="s">
        <v>393</v>
      </c>
      <c r="B4" s="69">
        <v>0</v>
      </c>
      <c r="C4" s="76">
        <v>3</v>
      </c>
      <c r="D4" s="76">
        <v>6</v>
      </c>
      <c r="E4" s="76"/>
      <c r="F4" s="76">
        <f>SUM(B4:E4)</f>
        <v>9</v>
      </c>
      <c r="H4" s="94" t="s">
        <v>36</v>
      </c>
      <c r="I4" s="94"/>
    </row>
    <row r="5" spans="1:9" ht="15" x14ac:dyDescent="0.25">
      <c r="A5" s="140" t="s">
        <v>394</v>
      </c>
      <c r="B5" s="15">
        <v>20</v>
      </c>
      <c r="C5" s="8">
        <v>11</v>
      </c>
      <c r="D5" s="8">
        <v>2</v>
      </c>
      <c r="E5" s="8"/>
      <c r="F5" s="8">
        <f t="shared" ref="F5:F68" si="0">SUM(B5:E5)</f>
        <v>33</v>
      </c>
      <c r="H5" s="8" t="s">
        <v>37</v>
      </c>
      <c r="I5" s="8" t="s">
        <v>393</v>
      </c>
    </row>
    <row r="6" spans="1:9" ht="15" x14ac:dyDescent="0.25">
      <c r="A6" s="140" t="s">
        <v>395</v>
      </c>
      <c r="B6" s="15">
        <v>9</v>
      </c>
      <c r="C6" s="8">
        <v>5</v>
      </c>
      <c r="D6" s="8">
        <v>2</v>
      </c>
      <c r="E6" s="8"/>
      <c r="F6" s="8">
        <f t="shared" si="0"/>
        <v>16</v>
      </c>
      <c r="H6" s="8" t="s">
        <v>373</v>
      </c>
      <c r="I6" s="8" t="s">
        <v>394</v>
      </c>
    </row>
    <row r="7" spans="1:9" ht="15" x14ac:dyDescent="0.25">
      <c r="A7" s="140" t="s">
        <v>396</v>
      </c>
      <c r="B7" s="15">
        <v>2</v>
      </c>
      <c r="C7" s="8">
        <v>0</v>
      </c>
      <c r="D7" s="8">
        <v>0</v>
      </c>
      <c r="E7" s="8"/>
      <c r="F7" s="8">
        <f t="shared" si="0"/>
        <v>2</v>
      </c>
      <c r="H7" s="8" t="s">
        <v>375</v>
      </c>
      <c r="I7" s="8" t="s">
        <v>395</v>
      </c>
    </row>
    <row r="8" spans="1:9" ht="15" x14ac:dyDescent="0.25">
      <c r="A8" s="140" t="s">
        <v>397</v>
      </c>
      <c r="B8" s="15">
        <v>5</v>
      </c>
      <c r="C8" s="8">
        <v>2</v>
      </c>
      <c r="D8" s="8">
        <v>5</v>
      </c>
      <c r="E8" s="8"/>
      <c r="F8" s="8">
        <f t="shared" si="0"/>
        <v>12</v>
      </c>
      <c r="H8" s="8" t="s">
        <v>454</v>
      </c>
      <c r="I8" s="8" t="s">
        <v>396</v>
      </c>
    </row>
    <row r="9" spans="1:9" ht="15" x14ac:dyDescent="0.25">
      <c r="A9" s="140" t="s">
        <v>398</v>
      </c>
      <c r="B9" s="15">
        <v>10</v>
      </c>
      <c r="C9" s="8">
        <v>7</v>
      </c>
      <c r="D9" s="8">
        <v>2</v>
      </c>
      <c r="E9" s="8"/>
      <c r="F9" s="8">
        <f t="shared" si="0"/>
        <v>19</v>
      </c>
      <c r="H9" s="8" t="s">
        <v>374</v>
      </c>
      <c r="I9" s="8" t="s">
        <v>397</v>
      </c>
    </row>
    <row r="10" spans="1:9" ht="15" x14ac:dyDescent="0.25">
      <c r="A10" s="140" t="s">
        <v>399</v>
      </c>
      <c r="B10" s="15">
        <v>8</v>
      </c>
      <c r="C10" s="8">
        <v>15</v>
      </c>
      <c r="D10" s="8">
        <v>5</v>
      </c>
      <c r="E10" s="8"/>
      <c r="F10" s="8">
        <f t="shared" si="0"/>
        <v>28</v>
      </c>
      <c r="H10" s="8" t="s">
        <v>376</v>
      </c>
      <c r="I10" s="8" t="s">
        <v>398</v>
      </c>
    </row>
    <row r="11" spans="1:9" ht="15" x14ac:dyDescent="0.25">
      <c r="A11" s="140" t="s">
        <v>400</v>
      </c>
      <c r="B11" s="15">
        <v>10</v>
      </c>
      <c r="C11" s="8">
        <v>15</v>
      </c>
      <c r="D11" s="8">
        <v>4</v>
      </c>
      <c r="E11" s="8"/>
      <c r="F11" s="8">
        <f t="shared" si="0"/>
        <v>29</v>
      </c>
      <c r="H11" s="8" t="s">
        <v>377</v>
      </c>
      <c r="I11" s="8" t="s">
        <v>399</v>
      </c>
    </row>
    <row r="12" spans="1:9" ht="15" x14ac:dyDescent="0.25">
      <c r="A12" s="140" t="s">
        <v>401</v>
      </c>
      <c r="B12" s="15">
        <v>11</v>
      </c>
      <c r="C12" s="8">
        <v>10</v>
      </c>
      <c r="D12" s="8">
        <v>3</v>
      </c>
      <c r="E12" s="8"/>
      <c r="F12" s="8">
        <f t="shared" si="0"/>
        <v>24</v>
      </c>
      <c r="H12" s="8" t="s">
        <v>378</v>
      </c>
      <c r="I12" s="8" t="s">
        <v>400</v>
      </c>
    </row>
    <row r="13" spans="1:9" ht="15" x14ac:dyDescent="0.25">
      <c r="A13" s="140" t="s">
        <v>402</v>
      </c>
      <c r="B13" s="15">
        <v>9</v>
      </c>
      <c r="C13" s="8">
        <v>9</v>
      </c>
      <c r="D13" s="8">
        <v>2</v>
      </c>
      <c r="E13" s="8"/>
      <c r="F13" s="8">
        <f t="shared" si="0"/>
        <v>20</v>
      </c>
      <c r="H13" s="8" t="s">
        <v>379</v>
      </c>
      <c r="I13" s="8" t="s">
        <v>401</v>
      </c>
    </row>
    <row r="14" spans="1:9" ht="15" x14ac:dyDescent="0.25">
      <c r="A14" s="140" t="s">
        <v>403</v>
      </c>
      <c r="B14" s="15">
        <v>25</v>
      </c>
      <c r="C14" s="8">
        <v>24</v>
      </c>
      <c r="D14" s="8">
        <v>5</v>
      </c>
      <c r="E14" s="8"/>
      <c r="F14" s="8">
        <f t="shared" si="0"/>
        <v>54</v>
      </c>
      <c r="H14" s="8" t="s">
        <v>380</v>
      </c>
      <c r="I14" s="8" t="s">
        <v>402</v>
      </c>
    </row>
    <row r="15" spans="1:9" ht="15" x14ac:dyDescent="0.25">
      <c r="A15" s="140" t="s">
        <v>404</v>
      </c>
      <c r="B15" s="15">
        <v>1</v>
      </c>
      <c r="C15" s="8">
        <v>0</v>
      </c>
      <c r="D15" s="8">
        <v>0</v>
      </c>
      <c r="E15" s="8"/>
      <c r="F15" s="8">
        <f t="shared" si="0"/>
        <v>1</v>
      </c>
      <c r="H15" s="8" t="s">
        <v>381</v>
      </c>
      <c r="I15" s="8" t="s">
        <v>403</v>
      </c>
    </row>
    <row r="16" spans="1:9" ht="16.8" customHeight="1" x14ac:dyDescent="0.25">
      <c r="A16" s="140" t="s">
        <v>405</v>
      </c>
      <c r="B16" s="15">
        <v>15</v>
      </c>
      <c r="C16" s="8">
        <v>16</v>
      </c>
      <c r="D16" s="8">
        <v>7</v>
      </c>
      <c r="E16" s="8"/>
      <c r="F16" s="8">
        <f t="shared" si="0"/>
        <v>38</v>
      </c>
      <c r="H16" s="8" t="s">
        <v>382</v>
      </c>
      <c r="I16" s="8" t="s">
        <v>404</v>
      </c>
    </row>
    <row r="17" spans="1:9" ht="15" x14ac:dyDescent="0.25">
      <c r="A17" s="140" t="s">
        <v>410</v>
      </c>
      <c r="B17" s="15">
        <v>1</v>
      </c>
      <c r="C17" s="8">
        <v>0</v>
      </c>
      <c r="D17" s="8">
        <v>0</v>
      </c>
      <c r="E17" s="8"/>
      <c r="F17" s="8">
        <f t="shared" si="0"/>
        <v>1</v>
      </c>
      <c r="H17" s="8" t="s">
        <v>750</v>
      </c>
      <c r="I17" s="8" t="s">
        <v>405</v>
      </c>
    </row>
    <row r="18" spans="1:9" ht="15" x14ac:dyDescent="0.25">
      <c r="A18" s="206" t="s">
        <v>412</v>
      </c>
      <c r="B18" s="184">
        <v>18</v>
      </c>
      <c r="C18" s="107">
        <v>15</v>
      </c>
      <c r="D18" s="8">
        <v>11</v>
      </c>
      <c r="E18" s="8"/>
      <c r="F18" s="8">
        <f t="shared" si="0"/>
        <v>44</v>
      </c>
      <c r="H18" s="8" t="s">
        <v>41</v>
      </c>
      <c r="I18" s="8" t="s">
        <v>406</v>
      </c>
    </row>
    <row r="19" spans="1:9" ht="15" x14ac:dyDescent="0.25">
      <c r="A19" s="206" t="s">
        <v>413</v>
      </c>
      <c r="B19" s="184">
        <v>77</v>
      </c>
      <c r="C19" s="107">
        <v>89</v>
      </c>
      <c r="D19" s="8">
        <v>24</v>
      </c>
      <c r="E19" s="8"/>
      <c r="F19" s="8">
        <f t="shared" si="0"/>
        <v>190</v>
      </c>
      <c r="H19" s="8" t="s">
        <v>42</v>
      </c>
      <c r="I19" s="8" t="s">
        <v>407</v>
      </c>
    </row>
    <row r="20" spans="1:9" ht="15" x14ac:dyDescent="0.25">
      <c r="A20" s="206" t="s">
        <v>414</v>
      </c>
      <c r="B20" s="184">
        <v>6</v>
      </c>
      <c r="C20" s="107">
        <v>2</v>
      </c>
      <c r="D20" s="8">
        <v>1</v>
      </c>
      <c r="E20" s="8"/>
      <c r="F20" s="8">
        <f t="shared" si="0"/>
        <v>9</v>
      </c>
      <c r="H20" s="8" t="s">
        <v>383</v>
      </c>
      <c r="I20" s="8" t="s">
        <v>408</v>
      </c>
    </row>
    <row r="21" spans="1:9" ht="15" x14ac:dyDescent="0.25">
      <c r="A21" s="206" t="s">
        <v>417</v>
      </c>
      <c r="B21" s="184">
        <v>14</v>
      </c>
      <c r="C21" s="107">
        <v>16</v>
      </c>
      <c r="D21" s="8">
        <v>8</v>
      </c>
      <c r="E21" s="8"/>
      <c r="F21" s="8">
        <f t="shared" si="0"/>
        <v>38</v>
      </c>
      <c r="H21" s="8" t="s">
        <v>44</v>
      </c>
      <c r="I21" s="8" t="s">
        <v>409</v>
      </c>
    </row>
    <row r="22" spans="1:9" ht="15" x14ac:dyDescent="0.25">
      <c r="A22" s="206" t="s">
        <v>419</v>
      </c>
      <c r="B22" s="184">
        <v>13</v>
      </c>
      <c r="C22" s="107">
        <v>20</v>
      </c>
      <c r="D22" s="8">
        <v>2</v>
      </c>
      <c r="E22" s="8"/>
      <c r="F22" s="8">
        <f t="shared" si="0"/>
        <v>35</v>
      </c>
      <c r="H22" s="8" t="s">
        <v>45</v>
      </c>
      <c r="I22" s="8" t="s">
        <v>410</v>
      </c>
    </row>
    <row r="23" spans="1:9" ht="17.399999999999999" x14ac:dyDescent="0.3">
      <c r="A23" s="211" t="s">
        <v>420</v>
      </c>
      <c r="B23" s="184">
        <v>0</v>
      </c>
      <c r="C23" s="107">
        <v>0</v>
      </c>
      <c r="D23" s="8">
        <v>7</v>
      </c>
      <c r="E23" s="8"/>
      <c r="F23" s="8">
        <f t="shared" si="0"/>
        <v>7</v>
      </c>
      <c r="H23" s="94" t="s">
        <v>46</v>
      </c>
      <c r="I23" s="94"/>
    </row>
    <row r="24" spans="1:9" ht="15" x14ac:dyDescent="0.25">
      <c r="A24" s="206" t="s">
        <v>425</v>
      </c>
      <c r="B24" s="184">
        <v>1</v>
      </c>
      <c r="C24" s="107">
        <v>0</v>
      </c>
      <c r="D24" s="8">
        <v>0</v>
      </c>
      <c r="E24" s="8"/>
      <c r="F24" s="8">
        <f t="shared" si="0"/>
        <v>1</v>
      </c>
      <c r="H24" s="8" t="s">
        <v>47</v>
      </c>
      <c r="I24" s="8" t="s">
        <v>411</v>
      </c>
    </row>
    <row r="25" spans="1:9" ht="15" x14ac:dyDescent="0.25">
      <c r="A25" s="206" t="s">
        <v>426</v>
      </c>
      <c r="B25" s="184">
        <v>23</v>
      </c>
      <c r="C25" s="107">
        <v>32</v>
      </c>
      <c r="D25" s="8">
        <v>6</v>
      </c>
      <c r="E25" s="8"/>
      <c r="F25" s="8">
        <f t="shared" si="0"/>
        <v>61</v>
      </c>
      <c r="H25" s="8" t="s">
        <v>385</v>
      </c>
      <c r="I25" s="8" t="s">
        <v>412</v>
      </c>
    </row>
    <row r="26" spans="1:9" ht="15" x14ac:dyDescent="0.25">
      <c r="A26" s="206" t="s">
        <v>427</v>
      </c>
      <c r="B26" s="184">
        <v>7</v>
      </c>
      <c r="C26" s="107">
        <v>4</v>
      </c>
      <c r="D26" s="8">
        <v>3</v>
      </c>
      <c r="E26" s="8"/>
      <c r="F26" s="8">
        <f t="shared" si="0"/>
        <v>14</v>
      </c>
      <c r="H26" s="8" t="s">
        <v>48</v>
      </c>
      <c r="I26" s="8" t="s">
        <v>413</v>
      </c>
    </row>
    <row r="27" spans="1:9" ht="15" x14ac:dyDescent="0.25">
      <c r="A27" s="206" t="s">
        <v>428</v>
      </c>
      <c r="B27" s="184">
        <v>87</v>
      </c>
      <c r="C27" s="107">
        <v>73</v>
      </c>
      <c r="D27" s="8">
        <v>0</v>
      </c>
      <c r="E27" s="8"/>
      <c r="F27" s="8">
        <f t="shared" si="0"/>
        <v>160</v>
      </c>
      <c r="H27" s="8" t="s">
        <v>384</v>
      </c>
      <c r="I27" s="8" t="s">
        <v>414</v>
      </c>
    </row>
    <row r="28" spans="1:9" ht="15" x14ac:dyDescent="0.25">
      <c r="A28" s="206" t="s">
        <v>429</v>
      </c>
      <c r="B28" s="184">
        <v>0</v>
      </c>
      <c r="C28" s="107">
        <v>0</v>
      </c>
      <c r="D28" s="8">
        <v>34</v>
      </c>
      <c r="E28" s="8"/>
      <c r="F28" s="8">
        <f t="shared" si="0"/>
        <v>34</v>
      </c>
      <c r="H28" s="8" t="s">
        <v>235</v>
      </c>
      <c r="I28" s="8" t="s">
        <v>415</v>
      </c>
    </row>
    <row r="29" spans="1:9" ht="15" x14ac:dyDescent="0.25">
      <c r="A29" s="206" t="s">
        <v>433</v>
      </c>
      <c r="B29" s="184">
        <v>98</v>
      </c>
      <c r="C29" s="107">
        <v>115</v>
      </c>
      <c r="D29" s="8">
        <v>57</v>
      </c>
      <c r="E29" s="8"/>
      <c r="F29" s="8">
        <f t="shared" si="0"/>
        <v>270</v>
      </c>
      <c r="H29" s="8" t="s">
        <v>265</v>
      </c>
      <c r="I29" s="8" t="s">
        <v>416</v>
      </c>
    </row>
    <row r="30" spans="1:9" ht="15" x14ac:dyDescent="0.25">
      <c r="A30" s="206" t="s">
        <v>438</v>
      </c>
      <c r="B30" s="184">
        <v>108</v>
      </c>
      <c r="C30" s="107">
        <v>126</v>
      </c>
      <c r="D30" s="8">
        <v>58</v>
      </c>
      <c r="E30" s="8"/>
      <c r="F30" s="8">
        <f t="shared" si="0"/>
        <v>292</v>
      </c>
      <c r="H30" s="8" t="s">
        <v>49</v>
      </c>
      <c r="I30" s="8" t="s">
        <v>417</v>
      </c>
    </row>
    <row r="31" spans="1:9" ht="15" x14ac:dyDescent="0.25">
      <c r="A31" s="206" t="s">
        <v>440</v>
      </c>
      <c r="B31" s="184">
        <v>2</v>
      </c>
      <c r="C31" s="107">
        <v>6</v>
      </c>
      <c r="D31" s="8">
        <v>0</v>
      </c>
      <c r="E31" s="8"/>
      <c r="F31" s="8">
        <f t="shared" si="0"/>
        <v>8</v>
      </c>
      <c r="H31" s="8" t="s">
        <v>386</v>
      </c>
      <c r="I31" s="8" t="s">
        <v>418</v>
      </c>
    </row>
    <row r="32" spans="1:9" ht="15" x14ac:dyDescent="0.25">
      <c r="A32" s="206" t="s">
        <v>446</v>
      </c>
      <c r="B32" s="184">
        <v>0</v>
      </c>
      <c r="C32" s="107">
        <v>0</v>
      </c>
      <c r="D32" s="8">
        <v>3</v>
      </c>
      <c r="E32" s="8"/>
      <c r="F32" s="8">
        <f t="shared" si="0"/>
        <v>3</v>
      </c>
      <c r="H32" s="8" t="s">
        <v>387</v>
      </c>
      <c r="I32" s="8" t="s">
        <v>419</v>
      </c>
    </row>
    <row r="33" spans="1:9" ht="15" x14ac:dyDescent="0.25">
      <c r="A33" s="206" t="s">
        <v>447</v>
      </c>
      <c r="B33" s="184">
        <v>32</v>
      </c>
      <c r="C33" s="107">
        <v>31</v>
      </c>
      <c r="D33" s="8">
        <v>6</v>
      </c>
      <c r="E33" s="8"/>
      <c r="F33" s="8">
        <f t="shared" si="0"/>
        <v>69</v>
      </c>
      <c r="H33" s="8" t="s">
        <v>673</v>
      </c>
      <c r="I33" s="8" t="s">
        <v>420</v>
      </c>
    </row>
    <row r="34" spans="1:9" ht="15" x14ac:dyDescent="0.25">
      <c r="A34" s="206" t="s">
        <v>449</v>
      </c>
      <c r="B34" s="184">
        <v>75</v>
      </c>
      <c r="C34" s="107">
        <v>57</v>
      </c>
      <c r="D34" s="8">
        <v>14</v>
      </c>
      <c r="E34" s="8"/>
      <c r="F34" s="8">
        <f t="shared" si="0"/>
        <v>146</v>
      </c>
      <c r="H34" s="8" t="s">
        <v>52</v>
      </c>
      <c r="I34" s="8" t="s">
        <v>421</v>
      </c>
    </row>
    <row r="35" spans="1:9" ht="15" x14ac:dyDescent="0.25">
      <c r="A35" s="206" t="s">
        <v>450</v>
      </c>
      <c r="B35" s="184">
        <v>91</v>
      </c>
      <c r="C35" s="107">
        <v>98</v>
      </c>
      <c r="D35" s="8">
        <v>25</v>
      </c>
      <c r="E35" s="8"/>
      <c r="F35" s="8">
        <f t="shared" si="0"/>
        <v>214</v>
      </c>
      <c r="H35" s="8" t="s">
        <v>53</v>
      </c>
      <c r="I35" s="8" t="s">
        <v>422</v>
      </c>
    </row>
    <row r="36" spans="1:9" ht="17.399999999999999" x14ac:dyDescent="0.3">
      <c r="A36" s="186" t="s">
        <v>451</v>
      </c>
      <c r="B36" s="184">
        <v>35</v>
      </c>
      <c r="C36" s="107">
        <v>28</v>
      </c>
      <c r="D36" s="8">
        <v>6</v>
      </c>
      <c r="E36" s="8"/>
      <c r="F36" s="8">
        <f t="shared" si="0"/>
        <v>69</v>
      </c>
      <c r="H36" s="94" t="s">
        <v>54</v>
      </c>
      <c r="I36" s="94"/>
    </row>
    <row r="37" spans="1:9" ht="15" x14ac:dyDescent="0.25">
      <c r="A37" s="206" t="s">
        <v>453</v>
      </c>
      <c r="B37" s="184">
        <v>80</v>
      </c>
      <c r="C37" s="107">
        <v>70</v>
      </c>
      <c r="D37" s="8">
        <v>22</v>
      </c>
      <c r="E37" s="8"/>
      <c r="F37" s="8">
        <f t="shared" si="0"/>
        <v>172</v>
      </c>
      <c r="H37" s="8" t="s">
        <v>20</v>
      </c>
      <c r="I37" s="8" t="s">
        <v>423</v>
      </c>
    </row>
    <row r="38" spans="1:9" ht="15" x14ac:dyDescent="0.25">
      <c r="A38" s="206" t="s">
        <v>455</v>
      </c>
      <c r="B38" s="184">
        <v>65</v>
      </c>
      <c r="C38" s="107">
        <v>67</v>
      </c>
      <c r="D38" s="8">
        <v>16</v>
      </c>
      <c r="E38" s="8"/>
      <c r="F38" s="8">
        <f t="shared" si="0"/>
        <v>148</v>
      </c>
      <c r="H38" s="8" t="s">
        <v>263</v>
      </c>
      <c r="I38" s="8" t="s">
        <v>424</v>
      </c>
    </row>
    <row r="39" spans="1:9" ht="15" x14ac:dyDescent="0.25">
      <c r="A39" s="206" t="s">
        <v>459</v>
      </c>
      <c r="B39" s="184">
        <v>14</v>
      </c>
      <c r="C39" s="107">
        <v>12</v>
      </c>
      <c r="D39" s="8">
        <v>3</v>
      </c>
      <c r="E39" s="8"/>
      <c r="F39" s="8">
        <f t="shared" si="0"/>
        <v>29</v>
      </c>
      <c r="H39" s="8" t="s">
        <v>347</v>
      </c>
      <c r="I39" s="8" t="s">
        <v>425</v>
      </c>
    </row>
    <row r="40" spans="1:9" ht="15" x14ac:dyDescent="0.25">
      <c r="A40" s="206" t="s">
        <v>460</v>
      </c>
      <c r="B40" s="184">
        <v>2</v>
      </c>
      <c r="C40" s="107">
        <v>1</v>
      </c>
      <c r="D40" s="8">
        <v>3</v>
      </c>
      <c r="E40" s="8"/>
      <c r="F40" s="8">
        <f t="shared" si="0"/>
        <v>6</v>
      </c>
      <c r="H40" s="8" t="s">
        <v>352</v>
      </c>
      <c r="I40" s="8" t="s">
        <v>426</v>
      </c>
    </row>
    <row r="41" spans="1:9" ht="15" x14ac:dyDescent="0.25">
      <c r="A41" s="206" t="s">
        <v>462</v>
      </c>
      <c r="B41" s="106">
        <v>1</v>
      </c>
      <c r="C41" s="107">
        <v>2</v>
      </c>
      <c r="D41" s="8">
        <v>0</v>
      </c>
      <c r="E41" s="8"/>
      <c r="F41" s="8">
        <f t="shared" si="0"/>
        <v>3</v>
      </c>
      <c r="H41" s="8" t="s">
        <v>55</v>
      </c>
      <c r="I41" s="8" t="s">
        <v>427</v>
      </c>
    </row>
    <row r="42" spans="1:9" ht="17.399999999999999" x14ac:dyDescent="0.3">
      <c r="A42" s="186" t="s">
        <v>463</v>
      </c>
      <c r="B42" s="106">
        <v>0</v>
      </c>
      <c r="C42" s="107">
        <v>1</v>
      </c>
      <c r="D42" s="8">
        <v>1</v>
      </c>
      <c r="E42" s="8"/>
      <c r="F42" s="8">
        <f t="shared" si="0"/>
        <v>2</v>
      </c>
      <c r="H42" s="94" t="s">
        <v>56</v>
      </c>
      <c r="I42" s="94"/>
    </row>
    <row r="43" spans="1:9" ht="15" x14ac:dyDescent="0.25">
      <c r="A43" s="206" t="s">
        <v>464</v>
      </c>
      <c r="B43" s="106">
        <v>1</v>
      </c>
      <c r="C43" s="107">
        <v>0</v>
      </c>
      <c r="D43" s="8">
        <v>1</v>
      </c>
      <c r="E43" s="8"/>
      <c r="F43" s="8">
        <f t="shared" si="0"/>
        <v>2</v>
      </c>
      <c r="H43" s="8" t="s">
        <v>57</v>
      </c>
      <c r="I43" s="8" t="s">
        <v>428</v>
      </c>
    </row>
    <row r="44" spans="1:9" ht="15" x14ac:dyDescent="0.25">
      <c r="A44" s="206" t="s">
        <v>465</v>
      </c>
      <c r="B44" s="184">
        <v>6</v>
      </c>
      <c r="C44" s="107">
        <v>3</v>
      </c>
      <c r="D44" s="8">
        <v>0</v>
      </c>
      <c r="E44" s="8"/>
      <c r="F44" s="8">
        <f t="shared" si="0"/>
        <v>9</v>
      </c>
      <c r="H44" s="8" t="s">
        <v>388</v>
      </c>
      <c r="I44" s="8" t="s">
        <v>429</v>
      </c>
    </row>
    <row r="45" spans="1:9" ht="15" x14ac:dyDescent="0.25">
      <c r="A45" s="206" t="s">
        <v>467</v>
      </c>
      <c r="B45" s="184">
        <v>2</v>
      </c>
      <c r="C45" s="107">
        <v>1</v>
      </c>
      <c r="D45" s="8">
        <v>0</v>
      </c>
      <c r="E45" s="8"/>
      <c r="F45" s="8">
        <f t="shared" si="0"/>
        <v>3</v>
      </c>
      <c r="H45" s="8" t="s">
        <v>264</v>
      </c>
      <c r="I45" s="8" t="s">
        <v>430</v>
      </c>
    </row>
    <row r="46" spans="1:9" ht="15" x14ac:dyDescent="0.25">
      <c r="A46" s="206" t="s">
        <v>473</v>
      </c>
      <c r="B46" s="184">
        <v>1</v>
      </c>
      <c r="C46" s="107">
        <v>1</v>
      </c>
      <c r="D46" s="8">
        <v>0</v>
      </c>
      <c r="E46" s="8"/>
      <c r="F46" s="8">
        <f t="shared" si="0"/>
        <v>2</v>
      </c>
      <c r="H46" s="8" t="s">
        <v>58</v>
      </c>
      <c r="I46" s="8" t="s">
        <v>431</v>
      </c>
    </row>
    <row r="47" spans="1:9" ht="15" x14ac:dyDescent="0.25">
      <c r="A47" s="206" t="s">
        <v>475</v>
      </c>
      <c r="B47" s="184">
        <v>0</v>
      </c>
      <c r="C47" s="107">
        <v>1</v>
      </c>
      <c r="D47" s="8">
        <v>0</v>
      </c>
      <c r="E47" s="8"/>
      <c r="F47" s="8">
        <f t="shared" si="0"/>
        <v>1</v>
      </c>
      <c r="H47" s="8" t="s">
        <v>59</v>
      </c>
      <c r="I47" s="8" t="s">
        <v>432</v>
      </c>
    </row>
    <row r="48" spans="1:9" ht="15" x14ac:dyDescent="0.25">
      <c r="A48" s="206" t="s">
        <v>481</v>
      </c>
      <c r="B48" s="184">
        <v>5</v>
      </c>
      <c r="C48" s="107">
        <v>10</v>
      </c>
      <c r="D48" s="8">
        <v>0</v>
      </c>
      <c r="E48" s="8"/>
      <c r="F48" s="8">
        <f t="shared" si="0"/>
        <v>15</v>
      </c>
      <c r="H48" s="8" t="s">
        <v>60</v>
      </c>
      <c r="I48" s="8" t="s">
        <v>433</v>
      </c>
    </row>
    <row r="49" spans="1:9" ht="15" x14ac:dyDescent="0.25">
      <c r="A49" s="206" t="s">
        <v>482</v>
      </c>
      <c r="B49" s="184">
        <v>0</v>
      </c>
      <c r="C49" s="107">
        <v>0</v>
      </c>
      <c r="D49" s="8">
        <v>30</v>
      </c>
      <c r="E49" s="8"/>
      <c r="F49" s="8">
        <f t="shared" si="0"/>
        <v>30</v>
      </c>
      <c r="H49" s="8" t="s">
        <v>61</v>
      </c>
      <c r="I49" s="8" t="s">
        <v>434</v>
      </c>
    </row>
    <row r="50" spans="1:9" ht="15" x14ac:dyDescent="0.25">
      <c r="A50" s="206" t="s">
        <v>483</v>
      </c>
      <c r="B50" s="184">
        <v>670</v>
      </c>
      <c r="C50" s="107">
        <v>850</v>
      </c>
      <c r="D50" s="8">
        <v>200</v>
      </c>
      <c r="E50" s="8"/>
      <c r="F50" s="8">
        <f t="shared" si="0"/>
        <v>1720</v>
      </c>
      <c r="H50" s="8" t="s">
        <v>62</v>
      </c>
      <c r="I50" s="8" t="s">
        <v>435</v>
      </c>
    </row>
    <row r="51" spans="1:9" ht="15" x14ac:dyDescent="0.25">
      <c r="A51" s="206" t="s">
        <v>484</v>
      </c>
      <c r="B51" s="184">
        <v>122</v>
      </c>
      <c r="C51" s="107">
        <v>266</v>
      </c>
      <c r="D51" s="8">
        <v>1</v>
      </c>
      <c r="E51" s="8"/>
      <c r="F51" s="8">
        <f t="shared" si="0"/>
        <v>389</v>
      </c>
      <c r="H51" s="8" t="s">
        <v>63</v>
      </c>
      <c r="I51" s="8" t="s">
        <v>436</v>
      </c>
    </row>
    <row r="52" spans="1:9" ht="15" x14ac:dyDescent="0.25">
      <c r="A52" s="206" t="s">
        <v>485</v>
      </c>
      <c r="B52" s="184">
        <v>521</v>
      </c>
      <c r="C52" s="107">
        <v>960</v>
      </c>
      <c r="D52" s="8">
        <v>100</v>
      </c>
      <c r="E52" s="8"/>
      <c r="F52" s="8">
        <f t="shared" si="0"/>
        <v>1581</v>
      </c>
      <c r="H52" s="8" t="s">
        <v>64</v>
      </c>
      <c r="I52" s="8" t="s">
        <v>437</v>
      </c>
    </row>
    <row r="53" spans="1:9" ht="15" x14ac:dyDescent="0.25">
      <c r="A53" s="206" t="s">
        <v>486</v>
      </c>
      <c r="B53" s="184">
        <v>76</v>
      </c>
      <c r="C53" s="107">
        <v>110</v>
      </c>
      <c r="D53" s="8">
        <v>1</v>
      </c>
      <c r="E53" s="8"/>
      <c r="F53" s="8">
        <f t="shared" si="0"/>
        <v>187</v>
      </c>
      <c r="H53" s="8" t="s">
        <v>65</v>
      </c>
      <c r="I53" s="8" t="s">
        <v>438</v>
      </c>
    </row>
    <row r="54" spans="1:9" ht="15" x14ac:dyDescent="0.25">
      <c r="A54" s="206" t="s">
        <v>497</v>
      </c>
      <c r="B54" s="184">
        <v>80</v>
      </c>
      <c r="C54" s="107">
        <v>15</v>
      </c>
      <c r="D54" s="8">
        <v>0</v>
      </c>
      <c r="E54" s="8"/>
      <c r="F54" s="8">
        <f t="shared" si="0"/>
        <v>95</v>
      </c>
      <c r="H54" s="8" t="s">
        <v>68</v>
      </c>
      <c r="I54" s="8" t="s">
        <v>439</v>
      </c>
    </row>
    <row r="55" spans="1:9" ht="15" x14ac:dyDescent="0.25">
      <c r="A55" s="206" t="s">
        <v>500</v>
      </c>
      <c r="B55" s="184">
        <v>3</v>
      </c>
      <c r="C55" s="107">
        <v>2</v>
      </c>
      <c r="D55" s="8">
        <v>0</v>
      </c>
      <c r="E55" s="8"/>
      <c r="F55" s="8">
        <f t="shared" si="0"/>
        <v>5</v>
      </c>
      <c r="H55" s="8" t="s">
        <v>66</v>
      </c>
      <c r="I55" s="8" t="s">
        <v>440</v>
      </c>
    </row>
    <row r="56" spans="1:9" ht="15" x14ac:dyDescent="0.25">
      <c r="A56" s="206" t="s">
        <v>505</v>
      </c>
      <c r="B56" s="184">
        <v>50</v>
      </c>
      <c r="C56" s="107">
        <v>0</v>
      </c>
      <c r="D56" s="8">
        <v>0</v>
      </c>
      <c r="E56" s="8"/>
      <c r="F56" s="8">
        <f t="shared" si="0"/>
        <v>50</v>
      </c>
      <c r="H56" s="8" t="s">
        <v>67</v>
      </c>
      <c r="I56" s="8" t="s">
        <v>441</v>
      </c>
    </row>
    <row r="57" spans="1:9" ht="15" x14ac:dyDescent="0.25">
      <c r="A57" s="206" t="s">
        <v>507</v>
      </c>
      <c r="B57" s="184">
        <v>8</v>
      </c>
      <c r="C57" s="107">
        <v>5</v>
      </c>
      <c r="D57" s="8">
        <v>0</v>
      </c>
      <c r="E57" s="8"/>
      <c r="F57" s="8">
        <f t="shared" si="0"/>
        <v>13</v>
      </c>
      <c r="H57" s="8" t="s">
        <v>69</v>
      </c>
      <c r="I57" s="8" t="s">
        <v>442</v>
      </c>
    </row>
    <row r="58" spans="1:9" ht="15" x14ac:dyDescent="0.25">
      <c r="A58" s="206" t="s">
        <v>508</v>
      </c>
      <c r="B58" s="184">
        <v>9</v>
      </c>
      <c r="C58" s="107">
        <v>5</v>
      </c>
      <c r="D58" s="8">
        <v>0</v>
      </c>
      <c r="E58" s="8"/>
      <c r="F58" s="8">
        <f t="shared" si="0"/>
        <v>14</v>
      </c>
      <c r="H58" s="8" t="s">
        <v>70</v>
      </c>
      <c r="I58" s="8" t="s">
        <v>443</v>
      </c>
    </row>
    <row r="59" spans="1:9" ht="17.399999999999999" x14ac:dyDescent="0.3">
      <c r="A59" s="186" t="s">
        <v>509</v>
      </c>
      <c r="B59" s="184">
        <v>21</v>
      </c>
      <c r="C59" s="107">
        <v>18</v>
      </c>
      <c r="D59" s="8">
        <v>1</v>
      </c>
      <c r="E59" s="8"/>
      <c r="F59" s="8">
        <f t="shared" si="0"/>
        <v>40</v>
      </c>
      <c r="H59" s="94" t="s">
        <v>71</v>
      </c>
      <c r="I59" s="94"/>
    </row>
    <row r="60" spans="1:9" ht="15" x14ac:dyDescent="0.25">
      <c r="A60" s="206" t="s">
        <v>510</v>
      </c>
      <c r="B60" s="184">
        <v>11</v>
      </c>
      <c r="C60" s="107">
        <v>8</v>
      </c>
      <c r="D60" s="8">
        <v>3</v>
      </c>
      <c r="E60" s="8"/>
      <c r="F60" s="8">
        <f t="shared" si="0"/>
        <v>22</v>
      </c>
      <c r="H60" s="8" t="s">
        <v>72</v>
      </c>
      <c r="I60" s="8" t="s">
        <v>444</v>
      </c>
    </row>
    <row r="61" spans="1:9" ht="15" x14ac:dyDescent="0.25">
      <c r="A61" s="206" t="s">
        <v>511</v>
      </c>
      <c r="B61" s="184">
        <v>27</v>
      </c>
      <c r="C61" s="107">
        <v>29</v>
      </c>
      <c r="D61" s="8">
        <v>8</v>
      </c>
      <c r="E61" s="8"/>
      <c r="F61" s="8">
        <f t="shared" si="0"/>
        <v>64</v>
      </c>
      <c r="H61" s="8" t="s">
        <v>674</v>
      </c>
      <c r="I61" s="8" t="s">
        <v>445</v>
      </c>
    </row>
    <row r="62" spans="1:9" ht="15" x14ac:dyDescent="0.25">
      <c r="A62" s="206" t="s">
        <v>512</v>
      </c>
      <c r="B62" s="184">
        <v>0</v>
      </c>
      <c r="C62" s="107">
        <v>1</v>
      </c>
      <c r="D62" s="8">
        <v>0</v>
      </c>
      <c r="E62" s="8"/>
      <c r="F62" s="8">
        <f t="shared" si="0"/>
        <v>1</v>
      </c>
      <c r="H62" s="8" t="s">
        <v>74</v>
      </c>
      <c r="I62" s="8" t="s">
        <v>446</v>
      </c>
    </row>
    <row r="63" spans="1:9" ht="17.399999999999999" x14ac:dyDescent="0.3">
      <c r="A63" s="186" t="s">
        <v>513</v>
      </c>
      <c r="B63" s="184">
        <v>8</v>
      </c>
      <c r="C63" s="107">
        <v>9</v>
      </c>
      <c r="D63" s="8">
        <v>1</v>
      </c>
      <c r="E63" s="8"/>
      <c r="F63" s="8">
        <f t="shared" si="0"/>
        <v>18</v>
      </c>
      <c r="H63" s="94" t="s">
        <v>75</v>
      </c>
      <c r="I63" s="94"/>
    </row>
    <row r="64" spans="1:9" ht="15" x14ac:dyDescent="0.25">
      <c r="A64" s="206" t="s">
        <v>515</v>
      </c>
      <c r="B64" s="184">
        <v>10</v>
      </c>
      <c r="C64" s="107">
        <v>12</v>
      </c>
      <c r="D64" s="8">
        <v>4</v>
      </c>
      <c r="E64" s="8"/>
      <c r="F64" s="8">
        <f t="shared" si="0"/>
        <v>26</v>
      </c>
      <c r="H64" s="8" t="s">
        <v>76</v>
      </c>
      <c r="I64" s="8" t="s">
        <v>447</v>
      </c>
    </row>
    <row r="65" spans="1:9" ht="15" x14ac:dyDescent="0.25">
      <c r="A65" s="206" t="s">
        <v>516</v>
      </c>
      <c r="B65" s="184">
        <v>0</v>
      </c>
      <c r="C65" s="107">
        <v>2</v>
      </c>
      <c r="D65" s="8">
        <v>0</v>
      </c>
      <c r="E65" s="8"/>
      <c r="F65" s="8">
        <f t="shared" si="0"/>
        <v>2</v>
      </c>
      <c r="H65" s="8" t="s">
        <v>77</v>
      </c>
      <c r="I65" s="8" t="s">
        <v>448</v>
      </c>
    </row>
    <row r="66" spans="1:9" ht="15" x14ac:dyDescent="0.25">
      <c r="A66" s="206" t="s">
        <v>517</v>
      </c>
      <c r="B66" s="184">
        <v>1200</v>
      </c>
      <c r="C66" s="107">
        <v>800</v>
      </c>
      <c r="D66" s="8">
        <v>200</v>
      </c>
      <c r="E66" s="8"/>
      <c r="F66" s="8">
        <f t="shared" si="0"/>
        <v>2200</v>
      </c>
      <c r="H66" s="8" t="s">
        <v>78</v>
      </c>
      <c r="I66" s="8" t="s">
        <v>449</v>
      </c>
    </row>
    <row r="67" spans="1:9" ht="15" x14ac:dyDescent="0.25">
      <c r="A67" s="206" t="s">
        <v>518</v>
      </c>
      <c r="B67" s="184">
        <v>0</v>
      </c>
      <c r="C67" s="107">
        <v>400</v>
      </c>
      <c r="D67" s="8">
        <v>0</v>
      </c>
      <c r="E67" s="8"/>
      <c r="F67" s="8">
        <f t="shared" si="0"/>
        <v>400</v>
      </c>
      <c r="H67" s="8" t="s">
        <v>79</v>
      </c>
      <c r="I67" s="8" t="s">
        <v>450</v>
      </c>
    </row>
    <row r="68" spans="1:9" ht="15" x14ac:dyDescent="0.25">
      <c r="A68" s="206" t="s">
        <v>519</v>
      </c>
      <c r="B68" s="184">
        <v>0</v>
      </c>
      <c r="C68" s="107">
        <v>100</v>
      </c>
      <c r="D68" s="8">
        <v>0</v>
      </c>
      <c r="E68" s="8"/>
      <c r="F68" s="8">
        <f t="shared" si="0"/>
        <v>100</v>
      </c>
      <c r="H68" s="8" t="s">
        <v>80</v>
      </c>
      <c r="I68" s="8" t="s">
        <v>451</v>
      </c>
    </row>
    <row r="69" spans="1:9" ht="15" x14ac:dyDescent="0.25">
      <c r="A69" s="206" t="s">
        <v>520</v>
      </c>
      <c r="B69" s="184">
        <v>155</v>
      </c>
      <c r="C69" s="107">
        <v>250</v>
      </c>
      <c r="D69" s="8">
        <v>50</v>
      </c>
      <c r="E69" s="8"/>
      <c r="F69" s="8">
        <f t="shared" ref="F69:F105" si="1">SUM(B69:E69)</f>
        <v>455</v>
      </c>
      <c r="H69" s="8" t="s">
        <v>81</v>
      </c>
      <c r="I69" s="8" t="s">
        <v>452</v>
      </c>
    </row>
    <row r="70" spans="1:9" ht="15" x14ac:dyDescent="0.25">
      <c r="A70" s="206" t="s">
        <v>523</v>
      </c>
      <c r="B70" s="184">
        <v>73</v>
      </c>
      <c r="C70" s="107">
        <v>74</v>
      </c>
      <c r="D70" s="8">
        <v>20</v>
      </c>
      <c r="E70" s="8"/>
      <c r="F70" s="8">
        <f t="shared" si="1"/>
        <v>167</v>
      </c>
      <c r="H70" s="8" t="s">
        <v>82</v>
      </c>
      <c r="I70" s="8" t="s">
        <v>453</v>
      </c>
    </row>
    <row r="71" spans="1:9" ht="15" x14ac:dyDescent="0.25">
      <c r="A71" s="206" t="s">
        <v>525</v>
      </c>
      <c r="B71" s="184">
        <v>55</v>
      </c>
      <c r="C71" s="107">
        <v>140</v>
      </c>
      <c r="D71" s="8">
        <v>30</v>
      </c>
      <c r="E71" s="8"/>
      <c r="F71" s="8">
        <f t="shared" si="1"/>
        <v>225</v>
      </c>
      <c r="H71" s="8" t="s">
        <v>83</v>
      </c>
      <c r="I71" s="8" t="s">
        <v>455</v>
      </c>
    </row>
    <row r="72" spans="1:9" ht="17.399999999999999" x14ac:dyDescent="0.3">
      <c r="A72" s="186" t="s">
        <v>526</v>
      </c>
      <c r="B72" s="184">
        <v>715</v>
      </c>
      <c r="C72" s="107">
        <v>639</v>
      </c>
      <c r="D72" s="8">
        <v>120</v>
      </c>
      <c r="E72" s="8"/>
      <c r="F72" s="8">
        <f t="shared" si="1"/>
        <v>1474</v>
      </c>
      <c r="H72" s="94" t="s">
        <v>91</v>
      </c>
      <c r="I72" s="94"/>
    </row>
    <row r="73" spans="1:9" ht="15" x14ac:dyDescent="0.25">
      <c r="A73" s="206" t="s">
        <v>527</v>
      </c>
      <c r="B73" s="184">
        <v>250</v>
      </c>
      <c r="C73" s="107">
        <v>151</v>
      </c>
      <c r="D73" s="8">
        <v>0</v>
      </c>
      <c r="E73" s="8"/>
      <c r="F73" s="8">
        <f t="shared" si="1"/>
        <v>401</v>
      </c>
      <c r="H73" s="8" t="s">
        <v>93</v>
      </c>
      <c r="I73" s="8" t="s">
        <v>457</v>
      </c>
    </row>
    <row r="74" spans="1:9" ht="15" x14ac:dyDescent="0.25">
      <c r="A74" s="206" t="s">
        <v>534</v>
      </c>
      <c r="B74" s="184">
        <v>3</v>
      </c>
      <c r="C74" s="107">
        <v>6</v>
      </c>
      <c r="D74" s="8">
        <v>2</v>
      </c>
      <c r="E74" s="8"/>
      <c r="F74" s="8">
        <f t="shared" si="1"/>
        <v>11</v>
      </c>
      <c r="H74" s="8" t="s">
        <v>94</v>
      </c>
      <c r="I74" s="8" t="s">
        <v>458</v>
      </c>
    </row>
    <row r="75" spans="1:9" ht="15" x14ac:dyDescent="0.25">
      <c r="A75" s="206" t="s">
        <v>535</v>
      </c>
      <c r="B75" s="184">
        <v>1</v>
      </c>
      <c r="C75" s="107">
        <v>1</v>
      </c>
      <c r="D75" s="8">
        <v>1</v>
      </c>
      <c r="E75" s="8"/>
      <c r="F75" s="8">
        <f t="shared" si="1"/>
        <v>3</v>
      </c>
      <c r="H75" s="8" t="s">
        <v>3</v>
      </c>
      <c r="I75" s="8" t="s">
        <v>459</v>
      </c>
    </row>
    <row r="76" spans="1:9" ht="15" x14ac:dyDescent="0.25">
      <c r="A76" s="206" t="s">
        <v>536</v>
      </c>
      <c r="B76" s="184">
        <v>150</v>
      </c>
      <c r="C76" s="107">
        <v>290</v>
      </c>
      <c r="D76" s="8">
        <v>100</v>
      </c>
      <c r="E76" s="8"/>
      <c r="F76" s="8">
        <f t="shared" si="1"/>
        <v>540</v>
      </c>
      <c r="H76" s="8" t="s">
        <v>9</v>
      </c>
      <c r="I76" s="8" t="s">
        <v>460</v>
      </c>
    </row>
    <row r="77" spans="1:9" ht="15" x14ac:dyDescent="0.25">
      <c r="A77" s="206" t="s">
        <v>537</v>
      </c>
      <c r="B77" s="184">
        <v>200</v>
      </c>
      <c r="C77" s="107">
        <v>0</v>
      </c>
      <c r="D77" s="8">
        <v>0</v>
      </c>
      <c r="E77" s="8"/>
      <c r="F77" s="8">
        <f t="shared" si="1"/>
        <v>200</v>
      </c>
      <c r="H77" s="8" t="s">
        <v>456</v>
      </c>
      <c r="I77" s="8" t="s">
        <v>461</v>
      </c>
    </row>
    <row r="78" spans="1:9" ht="15" x14ac:dyDescent="0.25">
      <c r="A78" s="206" t="s">
        <v>538</v>
      </c>
      <c r="B78" s="184">
        <v>45</v>
      </c>
      <c r="C78" s="107">
        <v>27</v>
      </c>
      <c r="D78" s="8">
        <v>0</v>
      </c>
      <c r="E78" s="8"/>
      <c r="F78" s="8">
        <f t="shared" si="1"/>
        <v>72</v>
      </c>
      <c r="H78" s="8" t="s">
        <v>15</v>
      </c>
      <c r="I78" s="8" t="s">
        <v>462</v>
      </c>
    </row>
    <row r="79" spans="1:9" ht="17.399999999999999" x14ac:dyDescent="0.3">
      <c r="A79" s="186" t="s">
        <v>545</v>
      </c>
      <c r="B79" s="184">
        <v>10</v>
      </c>
      <c r="C79" s="107">
        <v>10</v>
      </c>
      <c r="D79" s="8">
        <v>100</v>
      </c>
      <c r="E79" s="8"/>
      <c r="F79" s="8">
        <f t="shared" si="1"/>
        <v>120</v>
      </c>
      <c r="H79" s="8" t="s">
        <v>18</v>
      </c>
      <c r="I79" s="8" t="s">
        <v>463</v>
      </c>
    </row>
    <row r="80" spans="1:9" ht="15" x14ac:dyDescent="0.25">
      <c r="A80" s="206" t="s">
        <v>552</v>
      </c>
      <c r="B80" s="184">
        <v>100</v>
      </c>
      <c r="C80" s="107">
        <v>0</v>
      </c>
      <c r="D80" s="8">
        <v>0</v>
      </c>
      <c r="E80" s="8"/>
      <c r="F80" s="8">
        <f t="shared" si="1"/>
        <v>100</v>
      </c>
      <c r="H80" s="8" t="s">
        <v>1</v>
      </c>
      <c r="I80" s="8" t="s">
        <v>464</v>
      </c>
    </row>
    <row r="81" spans="1:9" ht="15" x14ac:dyDescent="0.25">
      <c r="A81" s="206" t="s">
        <v>554</v>
      </c>
      <c r="B81" s="184">
        <v>220</v>
      </c>
      <c r="C81" s="107">
        <v>710</v>
      </c>
      <c r="D81" s="8">
        <v>480</v>
      </c>
      <c r="E81" s="8"/>
      <c r="F81" s="8">
        <f t="shared" si="1"/>
        <v>1410</v>
      </c>
      <c r="H81" s="8" t="s">
        <v>7</v>
      </c>
      <c r="I81" s="8" t="s">
        <v>465</v>
      </c>
    </row>
    <row r="82" spans="1:9" ht="15" x14ac:dyDescent="0.25">
      <c r="A82" s="206" t="s">
        <v>555</v>
      </c>
      <c r="B82" s="184">
        <v>110</v>
      </c>
      <c r="C82" s="107">
        <v>0</v>
      </c>
      <c r="D82" s="8">
        <v>100</v>
      </c>
      <c r="E82" s="8"/>
      <c r="F82" s="8">
        <f t="shared" si="1"/>
        <v>210</v>
      </c>
      <c r="H82" s="8" t="s">
        <v>2</v>
      </c>
      <c r="I82" s="8" t="s">
        <v>466</v>
      </c>
    </row>
    <row r="83" spans="1:9" ht="15" x14ac:dyDescent="0.25">
      <c r="A83" s="206" t="s">
        <v>557</v>
      </c>
      <c r="B83" s="184">
        <v>125</v>
      </c>
      <c r="C83" s="107">
        <v>228</v>
      </c>
      <c r="D83" s="8">
        <v>102</v>
      </c>
      <c r="E83" s="8"/>
      <c r="F83" s="8">
        <f t="shared" si="1"/>
        <v>455</v>
      </c>
      <c r="H83" s="8" t="s">
        <v>5</v>
      </c>
      <c r="I83" s="8" t="s">
        <v>467</v>
      </c>
    </row>
    <row r="84" spans="1:9" ht="15" x14ac:dyDescent="0.25">
      <c r="A84" s="206" t="s">
        <v>558</v>
      </c>
      <c r="B84" s="184">
        <v>75</v>
      </c>
      <c r="C84" s="107">
        <v>0</v>
      </c>
      <c r="D84" s="8">
        <v>0</v>
      </c>
      <c r="E84" s="8"/>
      <c r="F84" s="8">
        <f t="shared" si="1"/>
        <v>75</v>
      </c>
      <c r="H84" s="8" t="s">
        <v>4</v>
      </c>
      <c r="I84" s="8" t="s">
        <v>468</v>
      </c>
    </row>
    <row r="85" spans="1:9" ht="15" x14ac:dyDescent="0.25">
      <c r="A85" s="206" t="s">
        <v>566</v>
      </c>
      <c r="B85" s="184">
        <v>1</v>
      </c>
      <c r="C85" s="107">
        <v>2</v>
      </c>
      <c r="D85" s="8">
        <v>0</v>
      </c>
      <c r="E85" s="8"/>
      <c r="F85" s="8">
        <f t="shared" si="1"/>
        <v>3</v>
      </c>
      <c r="H85" s="8" t="s">
        <v>95</v>
      </c>
      <c r="I85" s="8" t="s">
        <v>469</v>
      </c>
    </row>
    <row r="86" spans="1:9" ht="15" x14ac:dyDescent="0.25">
      <c r="A86" s="206" t="s">
        <v>569</v>
      </c>
      <c r="B86" s="184">
        <v>0</v>
      </c>
      <c r="C86" s="107">
        <v>1</v>
      </c>
      <c r="D86" s="8">
        <v>0</v>
      </c>
      <c r="E86" s="8"/>
      <c r="F86" s="8">
        <f t="shared" si="1"/>
        <v>1</v>
      </c>
      <c r="H86" s="8" t="s">
        <v>96</v>
      </c>
      <c r="I86" s="8" t="s">
        <v>470</v>
      </c>
    </row>
    <row r="87" spans="1:9" ht="15" x14ac:dyDescent="0.25">
      <c r="A87" s="206" t="s">
        <v>568</v>
      </c>
      <c r="B87" s="184">
        <v>1</v>
      </c>
      <c r="C87" s="107">
        <v>3</v>
      </c>
      <c r="D87" s="8">
        <v>0</v>
      </c>
      <c r="E87" s="8"/>
      <c r="F87" s="8">
        <f t="shared" si="1"/>
        <v>4</v>
      </c>
      <c r="H87" s="94" t="s">
        <v>97</v>
      </c>
      <c r="I87" s="94"/>
    </row>
    <row r="88" spans="1:9" ht="15" x14ac:dyDescent="0.25">
      <c r="A88" s="206" t="s">
        <v>570</v>
      </c>
      <c r="B88" s="184">
        <v>0</v>
      </c>
      <c r="C88" s="107">
        <v>1</v>
      </c>
      <c r="D88" s="8">
        <v>0</v>
      </c>
      <c r="E88" s="8"/>
      <c r="F88" s="8">
        <f t="shared" si="1"/>
        <v>1</v>
      </c>
      <c r="H88" s="8" t="s">
        <v>98</v>
      </c>
      <c r="I88" s="8" t="s">
        <v>471</v>
      </c>
    </row>
    <row r="89" spans="1:9" ht="15" x14ac:dyDescent="0.25">
      <c r="A89" s="206" t="s">
        <v>573</v>
      </c>
      <c r="B89" s="184">
        <v>28</v>
      </c>
      <c r="C89" s="107">
        <v>33</v>
      </c>
      <c r="D89" s="8">
        <v>8</v>
      </c>
      <c r="E89" s="8"/>
      <c r="F89" s="8">
        <f t="shared" si="1"/>
        <v>69</v>
      </c>
      <c r="H89" s="8" t="s">
        <v>99</v>
      </c>
      <c r="I89" s="8" t="s">
        <v>472</v>
      </c>
    </row>
    <row r="90" spans="1:9" ht="15" x14ac:dyDescent="0.25">
      <c r="A90" s="206" t="s">
        <v>576</v>
      </c>
      <c r="B90" s="184">
        <v>420</v>
      </c>
      <c r="C90" s="107">
        <v>580</v>
      </c>
      <c r="D90" s="8">
        <v>110</v>
      </c>
      <c r="E90" s="8"/>
      <c r="F90" s="8">
        <f t="shared" si="1"/>
        <v>1110</v>
      </c>
      <c r="H90" s="8" t="s">
        <v>100</v>
      </c>
      <c r="I90" s="8" t="s">
        <v>473</v>
      </c>
    </row>
    <row r="91" spans="1:9" ht="15" x14ac:dyDescent="0.25">
      <c r="A91" s="206" t="s">
        <v>580</v>
      </c>
      <c r="B91" s="184">
        <v>0</v>
      </c>
      <c r="C91" s="107">
        <v>1</v>
      </c>
      <c r="D91" s="8">
        <v>0</v>
      </c>
      <c r="E91" s="8"/>
      <c r="F91" s="8">
        <f t="shared" si="1"/>
        <v>1</v>
      </c>
      <c r="H91" s="8" t="s">
        <v>101</v>
      </c>
      <c r="I91" s="8" t="s">
        <v>474</v>
      </c>
    </row>
    <row r="92" spans="1:9" ht="15" x14ac:dyDescent="0.25">
      <c r="A92" s="206" t="s">
        <v>581</v>
      </c>
      <c r="B92" s="184">
        <v>0</v>
      </c>
      <c r="C92" s="107">
        <v>1</v>
      </c>
      <c r="D92" s="8">
        <v>1</v>
      </c>
      <c r="E92" s="8"/>
      <c r="F92" s="8">
        <f t="shared" si="1"/>
        <v>2</v>
      </c>
      <c r="H92" s="8" t="s">
        <v>102</v>
      </c>
      <c r="I92" s="8" t="s">
        <v>475</v>
      </c>
    </row>
    <row r="93" spans="1:9" ht="15" x14ac:dyDescent="0.25">
      <c r="A93" s="206" t="s">
        <v>587</v>
      </c>
      <c r="B93" s="184">
        <v>0</v>
      </c>
      <c r="C93" s="107">
        <v>2</v>
      </c>
      <c r="D93" s="8">
        <v>0</v>
      </c>
      <c r="E93" s="8"/>
      <c r="F93" s="8">
        <f t="shared" si="1"/>
        <v>2</v>
      </c>
      <c r="H93" s="8" t="s">
        <v>103</v>
      </c>
      <c r="I93" s="8" t="s">
        <v>476</v>
      </c>
    </row>
    <row r="94" spans="1:9" ht="15" x14ac:dyDescent="0.25">
      <c r="A94" s="206" t="s">
        <v>588</v>
      </c>
      <c r="B94" s="184">
        <v>7</v>
      </c>
      <c r="C94" s="107">
        <v>2</v>
      </c>
      <c r="D94" s="8">
        <v>5</v>
      </c>
      <c r="E94" s="8"/>
      <c r="F94" s="8">
        <f t="shared" si="1"/>
        <v>14</v>
      </c>
      <c r="H94" s="94" t="s">
        <v>104</v>
      </c>
      <c r="I94" s="94"/>
    </row>
    <row r="95" spans="1:9" ht="17.399999999999999" x14ac:dyDescent="0.3">
      <c r="A95" s="186" t="s">
        <v>589</v>
      </c>
      <c r="B95" s="184">
        <v>3</v>
      </c>
      <c r="C95" s="107">
        <v>0</v>
      </c>
      <c r="D95" s="8">
        <v>0</v>
      </c>
      <c r="E95" s="8"/>
      <c r="F95" s="8">
        <f t="shared" si="1"/>
        <v>3</v>
      </c>
      <c r="H95" s="8" t="s">
        <v>105</v>
      </c>
      <c r="I95" s="8" t="s">
        <v>477</v>
      </c>
    </row>
    <row r="96" spans="1:9" ht="15" x14ac:dyDescent="0.25">
      <c r="A96" s="206" t="s">
        <v>590</v>
      </c>
      <c r="B96" s="184">
        <v>3</v>
      </c>
      <c r="C96" s="107">
        <v>0</v>
      </c>
      <c r="D96" s="8">
        <v>0</v>
      </c>
      <c r="E96" s="8"/>
      <c r="F96" s="8">
        <f t="shared" si="1"/>
        <v>3</v>
      </c>
      <c r="H96" s="8" t="s">
        <v>106</v>
      </c>
      <c r="I96" s="8" t="s">
        <v>478</v>
      </c>
    </row>
    <row r="97" spans="1:9" ht="15" x14ac:dyDescent="0.25">
      <c r="A97" s="206" t="s">
        <v>591</v>
      </c>
      <c r="B97" s="184">
        <v>2</v>
      </c>
      <c r="C97" s="107">
        <v>1</v>
      </c>
      <c r="D97" s="8">
        <v>0</v>
      </c>
      <c r="E97" s="8"/>
      <c r="F97" s="8">
        <f t="shared" si="1"/>
        <v>3</v>
      </c>
      <c r="H97" s="8" t="s">
        <v>107</v>
      </c>
      <c r="I97" s="8" t="s">
        <v>479</v>
      </c>
    </row>
    <row r="98" spans="1:9" ht="15" x14ac:dyDescent="0.25">
      <c r="A98" s="206" t="s">
        <v>595</v>
      </c>
      <c r="B98" s="184">
        <v>2</v>
      </c>
      <c r="C98" s="107">
        <v>2</v>
      </c>
      <c r="D98" s="8">
        <v>1</v>
      </c>
      <c r="E98" s="8"/>
      <c r="F98" s="8">
        <f t="shared" si="1"/>
        <v>5</v>
      </c>
      <c r="H98" s="8" t="s">
        <v>108</v>
      </c>
      <c r="I98" s="8" t="s">
        <v>480</v>
      </c>
    </row>
    <row r="99" spans="1:9" ht="15" x14ac:dyDescent="0.25">
      <c r="A99" s="206" t="s">
        <v>598</v>
      </c>
      <c r="B99" s="184">
        <v>0</v>
      </c>
      <c r="C99" s="107">
        <v>1</v>
      </c>
      <c r="D99" s="8">
        <v>0</v>
      </c>
      <c r="E99" s="8"/>
      <c r="F99" s="8">
        <f t="shared" si="1"/>
        <v>1</v>
      </c>
      <c r="H99" s="8" t="s">
        <v>109</v>
      </c>
      <c r="I99" s="8" t="s">
        <v>481</v>
      </c>
    </row>
    <row r="100" spans="1:9" ht="15" x14ac:dyDescent="0.25">
      <c r="A100" s="206" t="s">
        <v>604</v>
      </c>
      <c r="B100" s="106">
        <v>103</v>
      </c>
      <c r="C100" s="107">
        <v>62</v>
      </c>
      <c r="D100" s="8">
        <v>22</v>
      </c>
      <c r="E100" s="8"/>
      <c r="F100" s="8">
        <f t="shared" si="1"/>
        <v>187</v>
      </c>
      <c r="H100" s="94" t="s">
        <v>110</v>
      </c>
      <c r="I100" s="94"/>
    </row>
    <row r="101" spans="1:9" ht="15" x14ac:dyDescent="0.25">
      <c r="A101" s="206" t="s">
        <v>611</v>
      </c>
      <c r="B101" s="184">
        <v>50</v>
      </c>
      <c r="C101" s="107">
        <v>40</v>
      </c>
      <c r="D101" s="8">
        <v>10</v>
      </c>
      <c r="E101" s="8"/>
      <c r="F101" s="8">
        <f t="shared" si="1"/>
        <v>100</v>
      </c>
      <c r="H101" s="8" t="s">
        <v>111</v>
      </c>
      <c r="I101" s="8" t="s">
        <v>482</v>
      </c>
    </row>
    <row r="102" spans="1:9" ht="17.399999999999999" x14ac:dyDescent="0.3">
      <c r="A102" s="186" t="s">
        <v>752</v>
      </c>
      <c r="B102" s="184">
        <v>9</v>
      </c>
      <c r="C102" s="107">
        <v>8</v>
      </c>
      <c r="D102" s="8">
        <v>5</v>
      </c>
      <c r="E102" s="8"/>
      <c r="F102" s="8">
        <f t="shared" si="1"/>
        <v>22</v>
      </c>
      <c r="H102" s="8" t="s">
        <v>112</v>
      </c>
      <c r="I102" s="8" t="s">
        <v>483</v>
      </c>
    </row>
    <row r="103" spans="1:9" ht="15" x14ac:dyDescent="0.25">
      <c r="A103" s="206" t="s">
        <v>753</v>
      </c>
      <c r="B103" s="184">
        <v>1</v>
      </c>
      <c r="C103" s="107">
        <v>0</v>
      </c>
      <c r="D103" s="8">
        <v>0</v>
      </c>
      <c r="E103" s="8"/>
      <c r="F103" s="8">
        <f t="shared" si="1"/>
        <v>1</v>
      </c>
      <c r="H103" s="8" t="s">
        <v>113</v>
      </c>
      <c r="I103" s="8" t="s">
        <v>484</v>
      </c>
    </row>
    <row r="104" spans="1:9" ht="15" x14ac:dyDescent="0.25">
      <c r="A104" s="206" t="s">
        <v>529</v>
      </c>
      <c r="B104" s="184"/>
      <c r="C104" s="107"/>
      <c r="D104" s="8">
        <v>70</v>
      </c>
      <c r="E104" s="8"/>
      <c r="F104" s="8">
        <f t="shared" si="1"/>
        <v>70</v>
      </c>
      <c r="H104" s="8" t="s">
        <v>114</v>
      </c>
      <c r="I104" s="8" t="s">
        <v>485</v>
      </c>
    </row>
    <row r="105" spans="1:9" ht="15" x14ac:dyDescent="0.25">
      <c r="A105" s="206" t="s">
        <v>756</v>
      </c>
      <c r="B105" s="184"/>
      <c r="C105" s="107"/>
      <c r="D105" s="8">
        <v>5</v>
      </c>
      <c r="E105" s="8"/>
      <c r="F105" s="8">
        <f t="shared" si="1"/>
        <v>5</v>
      </c>
      <c r="H105" s="8" t="s">
        <v>115</v>
      </c>
      <c r="I105" s="8" t="s">
        <v>486</v>
      </c>
    </row>
    <row r="106" spans="1:9" ht="15" x14ac:dyDescent="0.25">
      <c r="A106" s="206"/>
      <c r="B106" s="184"/>
      <c r="C106" s="107"/>
      <c r="D106" s="8"/>
      <c r="E106" s="8"/>
      <c r="F106" s="8"/>
      <c r="H106" s="8" t="s">
        <v>240</v>
      </c>
      <c r="I106" s="8" t="s">
        <v>487</v>
      </c>
    </row>
    <row r="107" spans="1:9" ht="15" x14ac:dyDescent="0.25">
      <c r="A107" s="206"/>
      <c r="B107" s="184"/>
      <c r="C107" s="107"/>
      <c r="D107" s="8"/>
      <c r="E107" s="8"/>
      <c r="F107" s="8"/>
      <c r="H107" s="94" t="s">
        <v>116</v>
      </c>
      <c r="I107" s="94"/>
    </row>
    <row r="108" spans="1:9" ht="17.399999999999999" x14ac:dyDescent="0.3">
      <c r="A108" s="186"/>
      <c r="B108" s="184"/>
      <c r="C108" s="107"/>
      <c r="D108" s="8"/>
      <c r="E108" s="8"/>
      <c r="F108" s="8"/>
      <c r="H108" s="8" t="s">
        <v>117</v>
      </c>
      <c r="I108" s="8" t="s">
        <v>488</v>
      </c>
    </row>
    <row r="109" spans="1:9" ht="15" x14ac:dyDescent="0.25">
      <c r="A109" s="206"/>
      <c r="B109" s="184"/>
      <c r="C109" s="107"/>
      <c r="D109" s="8"/>
      <c r="E109" s="8"/>
      <c r="F109" s="8"/>
      <c r="H109" s="8" t="s">
        <v>118</v>
      </c>
      <c r="I109" s="8" t="s">
        <v>489</v>
      </c>
    </row>
    <row r="110" spans="1:9" ht="15" x14ac:dyDescent="0.25">
      <c r="A110" s="206"/>
      <c r="B110" s="184"/>
      <c r="C110" s="107"/>
      <c r="D110" s="8"/>
      <c r="E110" s="8"/>
      <c r="F110" s="8"/>
      <c r="H110" s="8" t="s">
        <v>119</v>
      </c>
      <c r="I110" s="8" t="s">
        <v>490</v>
      </c>
    </row>
    <row r="111" spans="1:9" ht="15" x14ac:dyDescent="0.25">
      <c r="A111" s="206"/>
      <c r="B111" s="184"/>
      <c r="C111" s="107"/>
      <c r="D111" s="8"/>
      <c r="E111" s="8"/>
      <c r="F111" s="8"/>
      <c r="H111" s="8" t="s">
        <v>120</v>
      </c>
      <c r="I111" s="8" t="s">
        <v>491</v>
      </c>
    </row>
    <row r="112" spans="1:9" ht="15" x14ac:dyDescent="0.25">
      <c r="A112" s="206"/>
      <c r="B112" s="184"/>
      <c r="C112" s="107"/>
      <c r="D112" s="8"/>
      <c r="E112" s="8"/>
      <c r="F112" s="8"/>
      <c r="H112" s="94" t="s">
        <v>121</v>
      </c>
      <c r="I112" s="94"/>
    </row>
    <row r="113" spans="1:9" ht="15" x14ac:dyDescent="0.25">
      <c r="A113" s="206"/>
      <c r="B113" s="184"/>
      <c r="C113" s="107"/>
      <c r="D113" s="8"/>
      <c r="E113" s="8"/>
      <c r="F113" s="8"/>
      <c r="H113" s="8" t="s">
        <v>118</v>
      </c>
      <c r="I113" s="8" t="s">
        <v>492</v>
      </c>
    </row>
    <row r="114" spans="1:9" ht="15" x14ac:dyDescent="0.25">
      <c r="A114" s="206"/>
      <c r="B114" s="184"/>
      <c r="C114" s="107"/>
      <c r="D114" s="8"/>
      <c r="E114" s="8"/>
      <c r="F114" s="8"/>
      <c r="H114" s="8" t="s">
        <v>119</v>
      </c>
      <c r="I114" s="8" t="s">
        <v>493</v>
      </c>
    </row>
    <row r="115" spans="1:9" ht="17.399999999999999" x14ac:dyDescent="0.3">
      <c r="A115" s="186"/>
      <c r="B115" s="184"/>
      <c r="C115" s="107"/>
      <c r="D115" s="8"/>
      <c r="E115" s="8"/>
      <c r="F115" s="8"/>
      <c r="H115" s="8" t="s">
        <v>120</v>
      </c>
      <c r="I115" s="8" t="s">
        <v>494</v>
      </c>
    </row>
    <row r="116" spans="1:9" ht="15" x14ac:dyDescent="0.25">
      <c r="A116" s="206"/>
      <c r="B116" s="184"/>
      <c r="C116" s="107"/>
      <c r="D116" s="8"/>
      <c r="E116" s="8"/>
      <c r="F116" s="8"/>
      <c r="H116" s="8" t="s">
        <v>122</v>
      </c>
      <c r="I116" s="8" t="s">
        <v>495</v>
      </c>
    </row>
    <row r="117" spans="1:9" ht="15" x14ac:dyDescent="0.25">
      <c r="A117" s="206"/>
      <c r="B117" s="184"/>
      <c r="C117" s="107"/>
      <c r="D117" s="8"/>
      <c r="E117" s="8"/>
      <c r="F117" s="8"/>
      <c r="H117" s="8" t="s">
        <v>123</v>
      </c>
      <c r="I117" s="8" t="s">
        <v>496</v>
      </c>
    </row>
    <row r="118" spans="1:9" ht="15" x14ac:dyDescent="0.25">
      <c r="A118" s="206"/>
      <c r="B118" s="184"/>
      <c r="C118" s="107"/>
      <c r="D118" s="8"/>
      <c r="E118" s="8"/>
      <c r="F118" s="8"/>
      <c r="H118" s="94" t="s">
        <v>124</v>
      </c>
      <c r="I118" s="94"/>
    </row>
    <row r="119" spans="1:9" ht="15" x14ac:dyDescent="0.25">
      <c r="A119" s="206"/>
      <c r="B119" s="184"/>
      <c r="C119" s="107"/>
      <c r="D119" s="8"/>
      <c r="E119" s="8"/>
      <c r="F119" s="8"/>
      <c r="H119" s="8" t="s">
        <v>125</v>
      </c>
      <c r="I119" s="8" t="s">
        <v>497</v>
      </c>
    </row>
    <row r="120" spans="1:9" ht="17.399999999999999" x14ac:dyDescent="0.3">
      <c r="A120" s="212"/>
      <c r="B120" s="184"/>
      <c r="C120" s="107"/>
      <c r="D120" s="8"/>
      <c r="E120" s="8"/>
      <c r="F120" s="8"/>
      <c r="H120" s="8" t="s">
        <v>126</v>
      </c>
      <c r="I120" s="8" t="s">
        <v>498</v>
      </c>
    </row>
    <row r="121" spans="1:9" ht="15" x14ac:dyDescent="0.25">
      <c r="A121" s="206"/>
      <c r="B121" s="184"/>
      <c r="C121" s="107"/>
      <c r="D121" s="8"/>
      <c r="E121" s="8"/>
      <c r="F121" s="8"/>
      <c r="H121" s="8" t="s">
        <v>127</v>
      </c>
      <c r="I121" s="8" t="s">
        <v>499</v>
      </c>
    </row>
    <row r="122" spans="1:9" ht="15" x14ac:dyDescent="0.25">
      <c r="A122" s="206"/>
      <c r="B122" s="184"/>
      <c r="C122" s="107"/>
      <c r="D122" s="8"/>
      <c r="E122" s="8"/>
      <c r="F122" s="8"/>
      <c r="H122" s="8" t="s">
        <v>128</v>
      </c>
      <c r="I122" s="8" t="s">
        <v>500</v>
      </c>
    </row>
    <row r="123" spans="1:9" ht="15" x14ac:dyDescent="0.25">
      <c r="A123" s="206"/>
      <c r="B123" s="184"/>
      <c r="C123" s="107"/>
      <c r="D123" s="8"/>
      <c r="E123" s="8"/>
      <c r="F123" s="8"/>
      <c r="H123" s="8" t="s">
        <v>504</v>
      </c>
      <c r="I123" s="8" t="s">
        <v>501</v>
      </c>
    </row>
    <row r="124" spans="1:9" ht="15" x14ac:dyDescent="0.25">
      <c r="A124" s="206"/>
      <c r="B124" s="184"/>
      <c r="C124" s="107"/>
      <c r="D124" s="8"/>
      <c r="E124" s="8"/>
      <c r="F124" s="8"/>
      <c r="H124" s="8" t="s">
        <v>129</v>
      </c>
      <c r="I124" s="8" t="s">
        <v>502</v>
      </c>
    </row>
    <row r="125" spans="1:9" ht="15" x14ac:dyDescent="0.25">
      <c r="A125" s="206"/>
      <c r="B125" s="184"/>
      <c r="C125" s="107"/>
      <c r="D125" s="8"/>
      <c r="E125" s="8"/>
      <c r="F125" s="8"/>
      <c r="H125" s="8" t="s">
        <v>130</v>
      </c>
      <c r="I125" s="8" t="s">
        <v>503</v>
      </c>
    </row>
    <row r="126" spans="1:9" ht="17.399999999999999" x14ac:dyDescent="0.3">
      <c r="A126" s="186"/>
      <c r="B126" s="184"/>
      <c r="C126" s="107"/>
      <c r="D126" s="8"/>
      <c r="E126" s="8"/>
      <c r="F126" s="8"/>
      <c r="H126" s="8" t="s">
        <v>131</v>
      </c>
      <c r="I126" s="8" t="s">
        <v>505</v>
      </c>
    </row>
    <row r="127" spans="1:9" ht="15" x14ac:dyDescent="0.25">
      <c r="A127" s="206"/>
      <c r="B127" s="184"/>
      <c r="C127" s="107"/>
      <c r="D127" s="8"/>
      <c r="E127" s="8"/>
      <c r="F127" s="8"/>
      <c r="H127" s="94" t="s">
        <v>132</v>
      </c>
      <c r="I127" s="94"/>
    </row>
    <row r="128" spans="1:9" ht="15" x14ac:dyDescent="0.25">
      <c r="A128" s="206"/>
      <c r="B128" s="184"/>
      <c r="C128" s="107"/>
      <c r="D128" s="8"/>
      <c r="E128" s="8"/>
      <c r="F128" s="8"/>
      <c r="H128" s="8" t="s">
        <v>246</v>
      </c>
      <c r="I128" s="8" t="s">
        <v>506</v>
      </c>
    </row>
    <row r="129" spans="1:9" ht="15" x14ac:dyDescent="0.25">
      <c r="A129" s="206"/>
      <c r="B129" s="184"/>
      <c r="C129" s="107"/>
      <c r="D129" s="8"/>
      <c r="E129" s="8"/>
      <c r="F129" s="8"/>
      <c r="H129" s="8" t="s">
        <v>133</v>
      </c>
      <c r="I129" s="8" t="s">
        <v>507</v>
      </c>
    </row>
    <row r="130" spans="1:9" ht="15" x14ac:dyDescent="0.25">
      <c r="A130" s="206"/>
      <c r="B130" s="184"/>
      <c r="C130" s="107"/>
      <c r="D130" s="8"/>
      <c r="E130" s="8"/>
      <c r="F130" s="8"/>
      <c r="H130" s="8" t="s">
        <v>134</v>
      </c>
      <c r="I130" s="8" t="s">
        <v>508</v>
      </c>
    </row>
    <row r="131" spans="1:9" ht="15" x14ac:dyDescent="0.25">
      <c r="A131" s="206"/>
      <c r="B131" s="184"/>
      <c r="C131" s="107"/>
      <c r="D131" s="8"/>
      <c r="E131" s="8"/>
      <c r="F131" s="8"/>
      <c r="H131" s="8" t="s">
        <v>135</v>
      </c>
      <c r="I131" s="8" t="s">
        <v>509</v>
      </c>
    </row>
    <row r="132" spans="1:9" ht="17.399999999999999" x14ac:dyDescent="0.3">
      <c r="A132" s="206"/>
      <c r="B132" s="105"/>
      <c r="C132" s="107"/>
      <c r="D132" s="8"/>
      <c r="E132" s="8"/>
      <c r="F132" s="8"/>
      <c r="H132" s="8" t="s">
        <v>136</v>
      </c>
      <c r="I132" s="8" t="s">
        <v>510</v>
      </c>
    </row>
    <row r="133" spans="1:9" ht="17.399999999999999" x14ac:dyDescent="0.3">
      <c r="A133" s="206"/>
      <c r="B133" s="105"/>
      <c r="C133" s="107"/>
      <c r="D133" s="8"/>
      <c r="H133" s="8" t="s">
        <v>137</v>
      </c>
      <c r="I133" s="8" t="s">
        <v>511</v>
      </c>
    </row>
    <row r="134" spans="1:9" ht="15" x14ac:dyDescent="0.25">
      <c r="A134" s="206"/>
      <c r="B134" s="184"/>
      <c r="C134" s="107"/>
      <c r="D134" s="8"/>
      <c r="H134" s="8" t="s">
        <v>138</v>
      </c>
      <c r="I134" s="8" t="s">
        <v>512</v>
      </c>
    </row>
    <row r="135" spans="1:9" ht="17.399999999999999" x14ac:dyDescent="0.3">
      <c r="A135" s="213"/>
      <c r="B135" s="184"/>
      <c r="C135" s="107"/>
      <c r="D135" s="8"/>
      <c r="H135" s="94" t="s">
        <v>139</v>
      </c>
      <c r="I135" s="94"/>
    </row>
    <row r="136" spans="1:9" ht="15" x14ac:dyDescent="0.25">
      <c r="A136" s="206"/>
      <c r="B136" s="184"/>
      <c r="C136" s="107"/>
      <c r="D136" s="8"/>
      <c r="H136" s="8" t="s">
        <v>140</v>
      </c>
      <c r="I136" s="8" t="s">
        <v>513</v>
      </c>
    </row>
    <row r="137" spans="1:9" ht="15" x14ac:dyDescent="0.25">
      <c r="A137" s="206"/>
      <c r="B137" s="184"/>
      <c r="C137" s="107"/>
      <c r="D137" s="8"/>
      <c r="H137" s="8" t="s">
        <v>247</v>
      </c>
      <c r="I137" s="8" t="s">
        <v>514</v>
      </c>
    </row>
    <row r="138" spans="1:9" ht="15" x14ac:dyDescent="0.25">
      <c r="A138" s="206"/>
      <c r="B138" s="184"/>
      <c r="C138" s="107"/>
      <c r="D138" s="8"/>
      <c r="H138" s="8" t="s">
        <v>239</v>
      </c>
      <c r="I138" s="8" t="s">
        <v>515</v>
      </c>
    </row>
    <row r="139" spans="1:9" ht="15" x14ac:dyDescent="0.25">
      <c r="A139" s="206"/>
      <c r="B139" s="184"/>
      <c r="C139" s="107"/>
      <c r="D139" s="8"/>
      <c r="H139" s="8" t="s">
        <v>142</v>
      </c>
      <c r="I139" s="8" t="s">
        <v>516</v>
      </c>
    </row>
    <row r="140" spans="1:9" ht="15" x14ac:dyDescent="0.25">
      <c r="A140" s="206"/>
      <c r="B140" s="184"/>
      <c r="C140" s="107"/>
      <c r="D140" s="8"/>
      <c r="H140" s="94" t="s">
        <v>147</v>
      </c>
      <c r="I140" s="94"/>
    </row>
    <row r="141" spans="1:9" ht="15" x14ac:dyDescent="0.25">
      <c r="A141" s="206"/>
      <c r="B141" s="184"/>
      <c r="C141" s="107"/>
      <c r="D141" s="8"/>
      <c r="H141" s="8" t="s">
        <v>10</v>
      </c>
      <c r="I141" s="8" t="s">
        <v>517</v>
      </c>
    </row>
    <row r="142" spans="1:9" ht="15" x14ac:dyDescent="0.25">
      <c r="A142" s="206"/>
      <c r="B142" s="184"/>
      <c r="C142" s="107"/>
      <c r="D142" s="8"/>
      <c r="H142" s="8" t="s">
        <v>11</v>
      </c>
      <c r="I142" s="8" t="s">
        <v>518</v>
      </c>
    </row>
    <row r="143" spans="1:9" ht="17.399999999999999" x14ac:dyDescent="0.3">
      <c r="A143" s="201"/>
      <c r="B143" s="184"/>
      <c r="C143" s="107"/>
      <c r="D143" s="8"/>
      <c r="H143" s="8" t="s">
        <v>143</v>
      </c>
      <c r="I143" s="8" t="s">
        <v>519</v>
      </c>
    </row>
    <row r="144" spans="1:9" ht="15" x14ac:dyDescent="0.25">
      <c r="A144" s="206"/>
      <c r="B144" s="184"/>
      <c r="C144" s="107"/>
      <c r="D144" s="8"/>
      <c r="H144" s="8" t="s">
        <v>144</v>
      </c>
      <c r="I144" s="8" t="s">
        <v>520</v>
      </c>
    </row>
    <row r="145" spans="1:9" ht="15" x14ac:dyDescent="0.25">
      <c r="A145" s="206"/>
      <c r="B145" s="184"/>
      <c r="C145" s="107"/>
      <c r="D145" s="8"/>
      <c r="H145" s="8" t="s">
        <v>145</v>
      </c>
      <c r="I145" s="8" t="s">
        <v>521</v>
      </c>
    </row>
    <row r="146" spans="1:9" ht="15" x14ac:dyDescent="0.25">
      <c r="A146" s="206"/>
      <c r="B146" s="184"/>
      <c r="C146" s="107"/>
      <c r="D146" s="8"/>
      <c r="H146" s="8" t="s">
        <v>243</v>
      </c>
      <c r="I146" s="8" t="s">
        <v>522</v>
      </c>
    </row>
    <row r="147" spans="1:9" ht="15" x14ac:dyDescent="0.25">
      <c r="A147" s="206"/>
      <c r="B147" s="184"/>
      <c r="C147" s="107"/>
      <c r="D147" s="8"/>
      <c r="H147" s="8" t="s">
        <v>146</v>
      </c>
      <c r="I147" s="8" t="s">
        <v>523</v>
      </c>
    </row>
    <row r="148" spans="1:9" ht="17.399999999999999" x14ac:dyDescent="0.3">
      <c r="A148" s="186"/>
      <c r="B148" s="184"/>
      <c r="C148" s="107"/>
      <c r="D148" s="8"/>
      <c r="H148" s="94" t="s">
        <v>148</v>
      </c>
      <c r="I148" s="94"/>
    </row>
    <row r="149" spans="1:9" ht="15" x14ac:dyDescent="0.25">
      <c r="A149" s="206"/>
      <c r="B149" s="184"/>
      <c r="C149" s="107"/>
      <c r="D149" s="8"/>
      <c r="H149" s="8" t="s">
        <v>149</v>
      </c>
      <c r="I149" s="8" t="s">
        <v>524</v>
      </c>
    </row>
    <row r="150" spans="1:9" ht="15" x14ac:dyDescent="0.25">
      <c r="A150" s="206"/>
      <c r="B150" s="184"/>
      <c r="C150" s="107"/>
      <c r="D150" s="8"/>
      <c r="H150" s="8" t="s">
        <v>150</v>
      </c>
      <c r="I150" s="8" t="s">
        <v>525</v>
      </c>
    </row>
    <row r="151" spans="1:9" ht="15" x14ac:dyDescent="0.25">
      <c r="A151" s="206"/>
      <c r="B151" s="184"/>
      <c r="C151" s="107"/>
      <c r="D151" s="8"/>
      <c r="H151" s="8" t="s">
        <v>151</v>
      </c>
      <c r="I151" s="8" t="s">
        <v>526</v>
      </c>
    </row>
    <row r="152" spans="1:9" ht="15" x14ac:dyDescent="0.25">
      <c r="A152" s="206"/>
      <c r="B152" s="184"/>
      <c r="C152" s="107"/>
      <c r="D152" s="8"/>
      <c r="H152" s="8" t="s">
        <v>152</v>
      </c>
      <c r="I152" s="8" t="s">
        <v>527</v>
      </c>
    </row>
    <row r="153" spans="1:9" ht="15" x14ac:dyDescent="0.25">
      <c r="A153" s="140"/>
      <c r="B153" s="74"/>
      <c r="C153" s="8"/>
      <c r="D153" s="8"/>
      <c r="H153" s="8" t="s">
        <v>153</v>
      </c>
      <c r="I153" s="8" t="s">
        <v>528</v>
      </c>
    </row>
    <row r="154" spans="1:9" ht="15" x14ac:dyDescent="0.25">
      <c r="A154" s="140"/>
      <c r="B154" s="15"/>
      <c r="C154" s="8"/>
      <c r="D154" s="8"/>
      <c r="H154" s="8" t="s">
        <v>154</v>
      </c>
      <c r="I154" s="8" t="s">
        <v>529</v>
      </c>
    </row>
    <row r="155" spans="1:9" ht="15" x14ac:dyDescent="0.25">
      <c r="A155" s="140"/>
      <c r="B155" s="15"/>
      <c r="C155" s="8"/>
      <c r="D155" s="8"/>
      <c r="H155" s="8" t="s">
        <v>231</v>
      </c>
      <c r="I155" s="8" t="s">
        <v>530</v>
      </c>
    </row>
    <row r="156" spans="1:9" ht="17.399999999999999" x14ac:dyDescent="0.3">
      <c r="A156" s="82"/>
      <c r="B156" s="15"/>
      <c r="C156" s="8"/>
      <c r="D156" s="8"/>
      <c r="H156" s="8" t="s">
        <v>155</v>
      </c>
      <c r="I156" s="8" t="s">
        <v>531</v>
      </c>
    </row>
    <row r="157" spans="1:9" ht="15" x14ac:dyDescent="0.25">
      <c r="A157" s="140"/>
      <c r="B157" s="15"/>
      <c r="C157" s="8"/>
      <c r="D157" s="8"/>
      <c r="H157" s="8" t="s">
        <v>156</v>
      </c>
      <c r="I157" s="8" t="s">
        <v>532</v>
      </c>
    </row>
    <row r="158" spans="1:9" ht="15" x14ac:dyDescent="0.25">
      <c r="A158" s="140"/>
      <c r="B158" s="15"/>
      <c r="C158" s="8"/>
      <c r="D158" s="8"/>
      <c r="H158" s="8" t="s">
        <v>157</v>
      </c>
      <c r="I158" s="8" t="s">
        <v>533</v>
      </c>
    </row>
    <row r="159" spans="1:9" ht="15" x14ac:dyDescent="0.25">
      <c r="A159" s="140"/>
      <c r="B159" s="15"/>
      <c r="C159" s="8"/>
      <c r="D159" s="8"/>
      <c r="H159" s="94" t="s">
        <v>158</v>
      </c>
      <c r="I159" s="94"/>
    </row>
    <row r="160" spans="1:9" ht="15" x14ac:dyDescent="0.25">
      <c r="A160" s="140"/>
      <c r="B160" s="15"/>
      <c r="C160" s="8"/>
      <c r="D160" s="8"/>
      <c r="H160" s="8" t="s">
        <v>160</v>
      </c>
      <c r="I160" s="8" t="s">
        <v>534</v>
      </c>
    </row>
    <row r="161" spans="1:9" ht="15" x14ac:dyDescent="0.25">
      <c r="A161" s="140"/>
      <c r="B161" s="15"/>
      <c r="C161" s="8"/>
      <c r="D161" s="8"/>
      <c r="H161" s="8" t="s">
        <v>159</v>
      </c>
      <c r="I161" s="8" t="s">
        <v>535</v>
      </c>
    </row>
    <row r="162" spans="1:9" ht="15" x14ac:dyDescent="0.25">
      <c r="A162" s="140"/>
      <c r="B162" s="15"/>
      <c r="C162" s="8"/>
      <c r="D162" s="8"/>
      <c r="H162" s="94" t="s">
        <v>161</v>
      </c>
      <c r="I162" s="94"/>
    </row>
    <row r="163" spans="1:9" ht="15" x14ac:dyDescent="0.25">
      <c r="A163" s="140"/>
      <c r="B163" s="15"/>
      <c r="C163" s="8"/>
      <c r="D163" s="8"/>
      <c r="H163" s="8" t="s">
        <v>162</v>
      </c>
      <c r="I163" s="8" t="s">
        <v>536</v>
      </c>
    </row>
    <row r="164" spans="1:9" ht="15" x14ac:dyDescent="0.25">
      <c r="A164" s="140"/>
      <c r="B164" s="74"/>
      <c r="C164" s="8"/>
      <c r="D164" s="8"/>
      <c r="H164" s="8" t="s">
        <v>163</v>
      </c>
      <c r="I164" s="8" t="s">
        <v>537</v>
      </c>
    </row>
    <row r="165" spans="1:9" ht="15" x14ac:dyDescent="0.25">
      <c r="A165" s="140"/>
      <c r="B165" s="15"/>
      <c r="C165" s="8"/>
      <c r="D165" s="8"/>
      <c r="H165" s="8" t="s">
        <v>164</v>
      </c>
      <c r="I165" s="8" t="s">
        <v>538</v>
      </c>
    </row>
    <row r="166" spans="1:9" ht="15" x14ac:dyDescent="0.25">
      <c r="A166" s="140"/>
      <c r="B166" s="15"/>
      <c r="C166" s="8"/>
      <c r="D166" s="8"/>
      <c r="H166" s="8" t="s">
        <v>165</v>
      </c>
      <c r="I166" s="8" t="s">
        <v>539</v>
      </c>
    </row>
    <row r="167" spans="1:9" ht="17.399999999999999" x14ac:dyDescent="0.3">
      <c r="A167" s="82"/>
      <c r="B167" s="74"/>
      <c r="C167" s="8"/>
      <c r="D167" s="8"/>
      <c r="H167" s="8" t="s">
        <v>166</v>
      </c>
      <c r="I167" s="8" t="s">
        <v>540</v>
      </c>
    </row>
    <row r="168" spans="1:9" ht="15" x14ac:dyDescent="0.25">
      <c r="A168" s="140"/>
      <c r="B168" s="15"/>
      <c r="C168" s="8"/>
      <c r="D168" s="8"/>
      <c r="H168" s="94" t="s">
        <v>167</v>
      </c>
      <c r="I168" s="94"/>
    </row>
    <row r="169" spans="1:9" ht="15" x14ac:dyDescent="0.25">
      <c r="A169" s="140"/>
      <c r="B169" s="15"/>
      <c r="C169" s="8"/>
      <c r="D169" s="8"/>
      <c r="H169" s="8" t="s">
        <v>168</v>
      </c>
      <c r="I169" s="8" t="s">
        <v>541</v>
      </c>
    </row>
    <row r="170" spans="1:9" ht="17.399999999999999" x14ac:dyDescent="0.3">
      <c r="A170" s="82"/>
      <c r="B170" s="15"/>
      <c r="C170" s="8"/>
      <c r="D170" s="8"/>
      <c r="H170" s="8" t="s">
        <v>169</v>
      </c>
      <c r="I170" s="8" t="s">
        <v>542</v>
      </c>
    </row>
    <row r="171" spans="1:9" ht="15" x14ac:dyDescent="0.25">
      <c r="A171" s="140"/>
      <c r="B171" s="15"/>
      <c r="C171" s="8"/>
      <c r="D171" s="8"/>
      <c r="H171" s="94" t="s">
        <v>170</v>
      </c>
      <c r="I171" s="94"/>
    </row>
    <row r="172" spans="1:9" ht="15" x14ac:dyDescent="0.25">
      <c r="A172" s="140"/>
      <c r="B172" s="15"/>
      <c r="C172" s="8"/>
      <c r="D172" s="8"/>
      <c r="H172" s="8" t="s">
        <v>234</v>
      </c>
      <c r="I172" s="8" t="s">
        <v>543</v>
      </c>
    </row>
    <row r="173" spans="1:9" ht="15" x14ac:dyDescent="0.25">
      <c r="A173" s="140"/>
      <c r="B173" s="74"/>
      <c r="C173" s="8"/>
      <c r="D173" s="8"/>
      <c r="H173" s="8" t="s">
        <v>171</v>
      </c>
      <c r="I173" s="8" t="s">
        <v>544</v>
      </c>
    </row>
    <row r="174" spans="1:9" ht="15" x14ac:dyDescent="0.25">
      <c r="A174" s="140"/>
      <c r="B174" s="15"/>
      <c r="C174" s="8"/>
      <c r="D174" s="8"/>
      <c r="H174" s="8" t="s">
        <v>172</v>
      </c>
      <c r="I174" s="8" t="s">
        <v>545</v>
      </c>
    </row>
    <row r="175" spans="1:9" ht="15" x14ac:dyDescent="0.25">
      <c r="A175" s="140"/>
      <c r="B175" s="15"/>
      <c r="C175" s="8"/>
      <c r="D175" s="8"/>
      <c r="H175" s="8" t="s">
        <v>548</v>
      </c>
      <c r="I175" s="8" t="s">
        <v>546</v>
      </c>
    </row>
    <row r="176" spans="1:9" ht="17.399999999999999" x14ac:dyDescent="0.3">
      <c r="A176" s="82"/>
      <c r="B176" s="74"/>
      <c r="C176" s="8"/>
      <c r="D176" s="8"/>
      <c r="H176" s="8" t="s">
        <v>549</v>
      </c>
      <c r="I176" s="8" t="s">
        <v>547</v>
      </c>
    </row>
    <row r="177" spans="1:9" ht="15" x14ac:dyDescent="0.25">
      <c r="A177" s="140"/>
      <c r="B177" s="15"/>
      <c r="C177" s="8"/>
      <c r="D177" s="8"/>
      <c r="H177" s="8" t="s">
        <v>174</v>
      </c>
      <c r="I177" s="8" t="s">
        <v>550</v>
      </c>
    </row>
    <row r="178" spans="1:9" ht="15" x14ac:dyDescent="0.25">
      <c r="A178" s="140"/>
      <c r="B178" s="15"/>
      <c r="C178" s="8"/>
      <c r="D178" s="8"/>
      <c r="H178" s="8" t="s">
        <v>173</v>
      </c>
      <c r="I178" s="8" t="s">
        <v>551</v>
      </c>
    </row>
    <row r="179" spans="1:9" ht="17.399999999999999" x14ac:dyDescent="0.3">
      <c r="A179" s="82"/>
      <c r="B179" s="15"/>
      <c r="C179" s="8"/>
      <c r="D179" s="8"/>
      <c r="H179" s="94" t="s">
        <v>175</v>
      </c>
      <c r="I179" s="94"/>
    </row>
    <row r="180" spans="1:9" ht="15" x14ac:dyDescent="0.25">
      <c r="A180" s="140"/>
      <c r="B180" s="15"/>
      <c r="C180" s="8"/>
      <c r="D180" s="8"/>
      <c r="H180" s="8" t="s">
        <v>176</v>
      </c>
      <c r="I180" s="8" t="s">
        <v>552</v>
      </c>
    </row>
    <row r="181" spans="1:9" ht="15" x14ac:dyDescent="0.25">
      <c r="A181" s="140"/>
      <c r="B181" s="15"/>
      <c r="C181" s="8"/>
      <c r="D181" s="8"/>
      <c r="H181" s="8" t="s">
        <v>177</v>
      </c>
      <c r="I181" s="8" t="s">
        <v>554</v>
      </c>
    </row>
    <row r="182" spans="1:9" ht="15" x14ac:dyDescent="0.25">
      <c r="A182" s="140"/>
      <c r="B182" s="74"/>
      <c r="C182" s="8"/>
      <c r="D182" s="8"/>
      <c r="H182" s="8" t="s">
        <v>178</v>
      </c>
      <c r="I182" s="8" t="s">
        <v>555</v>
      </c>
    </row>
    <row r="183" spans="1:9" ht="15" x14ac:dyDescent="0.25">
      <c r="A183" s="140"/>
      <c r="B183" s="15"/>
      <c r="C183" s="8"/>
      <c r="D183" s="8"/>
      <c r="H183" s="8" t="s">
        <v>553</v>
      </c>
      <c r="I183" s="8" t="s">
        <v>556</v>
      </c>
    </row>
    <row r="184" spans="1:9" ht="15" x14ac:dyDescent="0.25">
      <c r="A184" s="140"/>
      <c r="B184" s="15"/>
      <c r="C184" s="8"/>
      <c r="D184" s="8"/>
      <c r="H184" s="8" t="s">
        <v>179</v>
      </c>
      <c r="I184" s="8" t="s">
        <v>557</v>
      </c>
    </row>
    <row r="185" spans="1:9" ht="15" x14ac:dyDescent="0.25">
      <c r="A185" s="140"/>
      <c r="B185" s="15"/>
      <c r="C185" s="8"/>
      <c r="D185" s="8"/>
      <c r="H185" s="8" t="s">
        <v>180</v>
      </c>
      <c r="I185" s="8" t="s">
        <v>558</v>
      </c>
    </row>
    <row r="186" spans="1:9" ht="15" x14ac:dyDescent="0.25">
      <c r="A186" s="140"/>
      <c r="B186" s="15"/>
      <c r="C186" s="8"/>
      <c r="D186" s="8"/>
      <c r="H186" s="8" t="s">
        <v>181</v>
      </c>
      <c r="I186" s="8" t="s">
        <v>559</v>
      </c>
    </row>
    <row r="187" spans="1:9" ht="17.399999999999999" x14ac:dyDescent="0.3">
      <c r="A187" s="82"/>
      <c r="B187" s="15"/>
      <c r="C187" s="8"/>
      <c r="D187" s="8"/>
      <c r="H187" s="8" t="s">
        <v>182</v>
      </c>
      <c r="I187" s="8" t="s">
        <v>560</v>
      </c>
    </row>
    <row r="188" spans="1:9" ht="15" x14ac:dyDescent="0.25">
      <c r="A188" s="140"/>
      <c r="B188" s="15"/>
      <c r="C188" s="8"/>
      <c r="D188" s="8"/>
      <c r="H188" s="8" t="s">
        <v>183</v>
      </c>
      <c r="I188" s="8" t="s">
        <v>561</v>
      </c>
    </row>
    <row r="189" spans="1:9" ht="15" x14ac:dyDescent="0.25">
      <c r="A189" s="140"/>
      <c r="B189" s="15"/>
      <c r="C189" s="8"/>
      <c r="D189" s="8"/>
      <c r="H189" s="94" t="s">
        <v>184</v>
      </c>
      <c r="I189" s="94"/>
    </row>
    <row r="190" spans="1:9" ht="15" x14ac:dyDescent="0.25">
      <c r="A190" s="140"/>
      <c r="B190" s="15"/>
      <c r="C190" s="8"/>
      <c r="D190" s="8"/>
      <c r="H190" s="8" t="s">
        <v>185</v>
      </c>
      <c r="I190" s="8" t="s">
        <v>564</v>
      </c>
    </row>
    <row r="191" spans="1:9" ht="15" x14ac:dyDescent="0.25">
      <c r="A191" s="140"/>
      <c r="B191" s="74"/>
      <c r="C191" s="8"/>
      <c r="D191" s="8"/>
      <c r="H191" s="8" t="s">
        <v>562</v>
      </c>
      <c r="I191" s="8" t="s">
        <v>565</v>
      </c>
    </row>
    <row r="192" spans="1:9" ht="15" x14ac:dyDescent="0.25">
      <c r="A192" s="140"/>
      <c r="B192" s="15"/>
      <c r="C192" s="8"/>
      <c r="D192" s="8"/>
      <c r="H192" s="8" t="s">
        <v>186</v>
      </c>
      <c r="I192" s="8" t="s">
        <v>566</v>
      </c>
    </row>
    <row r="193" spans="1:9" ht="15" x14ac:dyDescent="0.25">
      <c r="A193" s="140"/>
      <c r="B193" s="15"/>
      <c r="C193" s="8"/>
      <c r="D193" s="8"/>
      <c r="H193" s="8" t="s">
        <v>563</v>
      </c>
      <c r="I193" s="8" t="s">
        <v>567</v>
      </c>
    </row>
    <row r="194" spans="1:9" ht="15" x14ac:dyDescent="0.25">
      <c r="A194" s="140"/>
      <c r="B194" s="15"/>
      <c r="C194" s="8"/>
      <c r="D194" s="8"/>
      <c r="H194" s="8" t="s">
        <v>187</v>
      </c>
      <c r="I194" s="8" t="s">
        <v>569</v>
      </c>
    </row>
    <row r="195" spans="1:9" ht="15" x14ac:dyDescent="0.25">
      <c r="A195" s="140"/>
      <c r="B195" s="74"/>
      <c r="C195" s="8"/>
      <c r="D195" s="8"/>
      <c r="H195" s="94" t="s">
        <v>253</v>
      </c>
      <c r="I195" s="94"/>
    </row>
    <row r="196" spans="1:9" ht="15" x14ac:dyDescent="0.25">
      <c r="A196" s="140"/>
      <c r="B196" s="15"/>
      <c r="C196" s="8"/>
      <c r="D196" s="8"/>
      <c r="H196" s="8" t="s">
        <v>188</v>
      </c>
      <c r="I196" s="8" t="s">
        <v>568</v>
      </c>
    </row>
    <row r="197" spans="1:9" ht="17.399999999999999" x14ac:dyDescent="0.3">
      <c r="A197" s="82"/>
      <c r="B197" s="15"/>
      <c r="C197" s="8"/>
      <c r="D197" s="8"/>
      <c r="H197" s="8" t="s">
        <v>244</v>
      </c>
      <c r="I197" s="8" t="s">
        <v>570</v>
      </c>
    </row>
    <row r="198" spans="1:9" ht="15" x14ac:dyDescent="0.25">
      <c r="A198" s="140"/>
      <c r="B198" s="15"/>
      <c r="C198" s="8"/>
      <c r="D198" s="8"/>
      <c r="H198" s="8" t="s">
        <v>245</v>
      </c>
      <c r="I198" s="8" t="s">
        <v>571</v>
      </c>
    </row>
    <row r="199" spans="1:9" ht="15" x14ac:dyDescent="0.25">
      <c r="A199" s="140"/>
      <c r="B199" s="15"/>
      <c r="C199" s="8"/>
      <c r="D199" s="8"/>
      <c r="H199" s="8" t="s">
        <v>701</v>
      </c>
      <c r="I199" s="8" t="s">
        <v>572</v>
      </c>
    </row>
    <row r="200" spans="1:9" ht="15" x14ac:dyDescent="0.25">
      <c r="A200" s="140"/>
      <c r="B200" s="15"/>
      <c r="C200" s="8"/>
      <c r="D200" s="8"/>
      <c r="H200" s="8" t="s">
        <v>190</v>
      </c>
      <c r="I200" s="8" t="s">
        <v>573</v>
      </c>
    </row>
    <row r="201" spans="1:9" ht="15" x14ac:dyDescent="0.25">
      <c r="A201" s="140"/>
      <c r="B201" s="15"/>
      <c r="C201" s="8"/>
      <c r="D201" s="8"/>
      <c r="H201" s="8" t="s">
        <v>254</v>
      </c>
      <c r="I201" s="8" t="s">
        <v>574</v>
      </c>
    </row>
    <row r="202" spans="1:9" ht="15" x14ac:dyDescent="0.25">
      <c r="A202" s="140"/>
      <c r="B202" s="15"/>
      <c r="C202" s="8"/>
      <c r="D202" s="8"/>
      <c r="H202" s="8" t="s">
        <v>255</v>
      </c>
      <c r="I202" s="8" t="s">
        <v>575</v>
      </c>
    </row>
    <row r="203" spans="1:9" ht="17.399999999999999" x14ac:dyDescent="0.3">
      <c r="A203" s="82"/>
      <c r="B203" s="15"/>
      <c r="C203" s="8"/>
      <c r="D203" s="8"/>
      <c r="H203" s="8" t="s">
        <v>193</v>
      </c>
      <c r="I203" s="8" t="s">
        <v>576</v>
      </c>
    </row>
    <row r="204" spans="1:9" ht="15" x14ac:dyDescent="0.25">
      <c r="A204" s="140"/>
      <c r="B204" s="15"/>
      <c r="C204" s="8"/>
      <c r="D204" s="8"/>
      <c r="H204" s="8" t="s">
        <v>194</v>
      </c>
      <c r="I204" s="8" t="s">
        <v>577</v>
      </c>
    </row>
    <row r="205" spans="1:9" ht="15" x14ac:dyDescent="0.25">
      <c r="A205" s="140"/>
      <c r="B205" s="15"/>
      <c r="C205" s="8"/>
      <c r="D205" s="8"/>
      <c r="H205" s="8" t="s">
        <v>195</v>
      </c>
      <c r="I205" s="8" t="s">
        <v>578</v>
      </c>
    </row>
    <row r="206" spans="1:9" ht="15" x14ac:dyDescent="0.25">
      <c r="A206" s="140"/>
      <c r="B206" s="15"/>
      <c r="C206" s="8"/>
      <c r="D206" s="8"/>
      <c r="H206" s="8" t="s">
        <v>196</v>
      </c>
      <c r="I206" s="8" t="s">
        <v>579</v>
      </c>
    </row>
    <row r="207" spans="1:9" ht="15" x14ac:dyDescent="0.25">
      <c r="A207" s="140"/>
      <c r="B207" s="15"/>
      <c r="C207" s="8"/>
      <c r="D207" s="8"/>
      <c r="H207" s="8" t="s">
        <v>197</v>
      </c>
      <c r="I207" s="8" t="s">
        <v>580</v>
      </c>
    </row>
    <row r="208" spans="1:9" ht="15" x14ac:dyDescent="0.25">
      <c r="A208" s="140"/>
      <c r="B208" s="15"/>
      <c r="C208" s="8"/>
      <c r="D208" s="8"/>
      <c r="H208" s="8" t="s">
        <v>198</v>
      </c>
      <c r="I208" s="8" t="s">
        <v>581</v>
      </c>
    </row>
    <row r="209" spans="1:9" ht="15" x14ac:dyDescent="0.25">
      <c r="A209" s="140"/>
      <c r="B209" s="15"/>
      <c r="C209" s="8"/>
      <c r="D209" s="8"/>
      <c r="H209" s="8" t="s">
        <v>199</v>
      </c>
      <c r="I209" s="8" t="s">
        <v>582</v>
      </c>
    </row>
    <row r="210" spans="1:9" ht="15" x14ac:dyDescent="0.25">
      <c r="A210" s="140"/>
      <c r="B210" s="15"/>
      <c r="C210" s="8"/>
      <c r="D210" s="8"/>
      <c r="H210" s="8" t="s">
        <v>6</v>
      </c>
      <c r="I210" s="8" t="s">
        <v>583</v>
      </c>
    </row>
    <row r="211" spans="1:9" ht="15" x14ac:dyDescent="0.25">
      <c r="A211" s="140"/>
      <c r="B211" s="15"/>
      <c r="C211" s="8"/>
      <c r="D211" s="8"/>
      <c r="H211" s="8" t="s">
        <v>200</v>
      </c>
      <c r="I211" s="8" t="s">
        <v>584</v>
      </c>
    </row>
    <row r="212" spans="1:9" ht="15" x14ac:dyDescent="0.25">
      <c r="A212" s="140"/>
      <c r="B212" s="15"/>
      <c r="C212" s="8"/>
      <c r="D212" s="8"/>
      <c r="H212" s="8" t="s">
        <v>201</v>
      </c>
      <c r="I212" s="8" t="s">
        <v>585</v>
      </c>
    </row>
    <row r="213" spans="1:9" ht="15" x14ac:dyDescent="0.25">
      <c r="A213" s="140"/>
      <c r="B213" s="15"/>
      <c r="C213" s="8"/>
      <c r="D213" s="8"/>
      <c r="H213" s="8" t="s">
        <v>202</v>
      </c>
      <c r="I213" s="8" t="s">
        <v>586</v>
      </c>
    </row>
    <row r="214" spans="1:9" ht="15" x14ac:dyDescent="0.25">
      <c r="A214" s="140"/>
      <c r="B214" s="74"/>
      <c r="C214" s="8"/>
      <c r="D214" s="8"/>
      <c r="H214" s="94" t="s">
        <v>204</v>
      </c>
      <c r="I214" s="94"/>
    </row>
    <row r="215" spans="1:9" ht="15" x14ac:dyDescent="0.25">
      <c r="A215" s="140"/>
      <c r="B215" s="15"/>
      <c r="C215" s="8"/>
      <c r="D215" s="8"/>
      <c r="H215" s="8" t="s">
        <v>205</v>
      </c>
      <c r="I215" s="8" t="s">
        <v>587</v>
      </c>
    </row>
    <row r="216" spans="1:9" ht="15" x14ac:dyDescent="0.25">
      <c r="A216" s="140"/>
      <c r="B216" s="15"/>
      <c r="C216" s="8"/>
      <c r="D216" s="8"/>
      <c r="H216" s="8" t="s">
        <v>206</v>
      </c>
      <c r="I216" s="8" t="s">
        <v>588</v>
      </c>
    </row>
    <row r="217" spans="1:9" ht="15" x14ac:dyDescent="0.25">
      <c r="A217" s="140"/>
      <c r="B217" s="15"/>
      <c r="C217" s="8"/>
      <c r="D217" s="8"/>
      <c r="H217" s="8" t="s">
        <v>207</v>
      </c>
      <c r="I217" s="8" t="s">
        <v>589</v>
      </c>
    </row>
    <row r="218" spans="1:9" ht="15" x14ac:dyDescent="0.25">
      <c r="A218" s="140"/>
      <c r="B218" s="15"/>
      <c r="C218" s="8"/>
      <c r="D218" s="8"/>
      <c r="H218" s="8" t="s">
        <v>208</v>
      </c>
      <c r="I218" s="8" t="s">
        <v>590</v>
      </c>
    </row>
    <row r="219" spans="1:9" ht="15" x14ac:dyDescent="0.25">
      <c r="A219" s="140"/>
      <c r="B219" s="15"/>
      <c r="C219" s="8"/>
      <c r="D219" s="8"/>
      <c r="H219" s="8" t="s">
        <v>209</v>
      </c>
      <c r="I219" s="8" t="s">
        <v>591</v>
      </c>
    </row>
    <row r="220" spans="1:9" ht="15" x14ac:dyDescent="0.25">
      <c r="A220" s="140"/>
      <c r="B220" s="15"/>
      <c r="C220" s="8"/>
      <c r="D220" s="8"/>
      <c r="H220" s="8" t="s">
        <v>210</v>
      </c>
      <c r="I220" s="8" t="s">
        <v>592</v>
      </c>
    </row>
    <row r="221" spans="1:9" ht="15" x14ac:dyDescent="0.25">
      <c r="A221" s="140"/>
      <c r="B221" s="14"/>
      <c r="C221" s="8"/>
      <c r="D221" s="8"/>
      <c r="H221" s="8" t="s">
        <v>211</v>
      </c>
      <c r="I221" s="8" t="s">
        <v>593</v>
      </c>
    </row>
    <row r="222" spans="1:9" ht="17.399999999999999" x14ac:dyDescent="0.3">
      <c r="A222" s="82"/>
      <c r="B222" s="14"/>
      <c r="C222" s="8"/>
      <c r="D222" s="8"/>
      <c r="H222" s="8" t="s">
        <v>212</v>
      </c>
      <c r="I222" s="8" t="s">
        <v>594</v>
      </c>
    </row>
    <row r="223" spans="1:9" ht="15" x14ac:dyDescent="0.25">
      <c r="A223" s="140"/>
      <c r="B223" s="14"/>
      <c r="C223" s="8"/>
      <c r="D223" s="8"/>
      <c r="H223" s="8" t="s">
        <v>349</v>
      </c>
      <c r="I223" s="8" t="s">
        <v>595</v>
      </c>
    </row>
    <row r="224" spans="1:9" ht="15" x14ac:dyDescent="0.25">
      <c r="A224" s="140"/>
      <c r="B224" s="14"/>
      <c r="C224" s="8"/>
      <c r="D224" s="8"/>
      <c r="H224" s="8" t="s">
        <v>214</v>
      </c>
      <c r="I224" s="8" t="s">
        <v>596</v>
      </c>
    </row>
    <row r="225" spans="1:9" ht="15" x14ac:dyDescent="0.25">
      <c r="A225" s="140"/>
      <c r="B225" s="14"/>
      <c r="C225" s="8"/>
      <c r="D225" s="8"/>
      <c r="H225" s="8" t="s">
        <v>215</v>
      </c>
      <c r="I225" s="8" t="s">
        <v>597</v>
      </c>
    </row>
    <row r="226" spans="1:9" ht="15" x14ac:dyDescent="0.25">
      <c r="A226" s="140"/>
      <c r="B226" s="75"/>
      <c r="C226" s="8"/>
      <c r="D226" s="8"/>
      <c r="H226" s="94" t="s">
        <v>216</v>
      </c>
      <c r="I226" s="94"/>
    </row>
    <row r="227" spans="1:9" ht="15" x14ac:dyDescent="0.25">
      <c r="A227" s="140"/>
      <c r="B227" s="14"/>
      <c r="C227" s="8"/>
      <c r="D227" s="8"/>
      <c r="H227" s="8" t="s">
        <v>217</v>
      </c>
      <c r="I227" s="8" t="s">
        <v>598</v>
      </c>
    </row>
    <row r="228" spans="1:9" ht="15" x14ac:dyDescent="0.25">
      <c r="A228" s="140"/>
      <c r="B228" s="14"/>
      <c r="C228" s="8"/>
      <c r="D228" s="8"/>
      <c r="H228" s="8" t="s">
        <v>218</v>
      </c>
      <c r="I228" s="8" t="s">
        <v>599</v>
      </c>
    </row>
    <row r="229" spans="1:9" ht="15" x14ac:dyDescent="0.25">
      <c r="A229" s="140"/>
      <c r="B229" s="75"/>
      <c r="C229" s="8"/>
      <c r="D229" s="8"/>
      <c r="H229" s="94" t="s">
        <v>219</v>
      </c>
      <c r="I229" s="94"/>
    </row>
    <row r="230" spans="1:9" ht="15" x14ac:dyDescent="0.25">
      <c r="A230" s="140"/>
      <c r="B230" s="14"/>
      <c r="C230" s="8"/>
      <c r="D230" s="8"/>
      <c r="H230" s="8" t="s">
        <v>220</v>
      </c>
      <c r="I230" s="8" t="s">
        <v>600</v>
      </c>
    </row>
    <row r="231" spans="1:9" ht="15" x14ac:dyDescent="0.25">
      <c r="A231" s="140"/>
      <c r="B231" s="14"/>
      <c r="C231" s="8"/>
      <c r="D231" s="8"/>
      <c r="H231" s="8" t="s">
        <v>221</v>
      </c>
      <c r="I231" s="8" t="s">
        <v>601</v>
      </c>
    </row>
    <row r="232" spans="1:9" ht="15" x14ac:dyDescent="0.25">
      <c r="A232" s="140"/>
      <c r="B232" s="23"/>
      <c r="C232" s="8"/>
      <c r="D232" s="8"/>
      <c r="H232" s="8" t="s">
        <v>222</v>
      </c>
      <c r="I232" s="8" t="s">
        <v>602</v>
      </c>
    </row>
    <row r="233" spans="1:9" ht="15" x14ac:dyDescent="0.25">
      <c r="A233" s="140"/>
      <c r="B233" s="14"/>
      <c r="C233" s="8"/>
      <c r="D233" s="8"/>
      <c r="H233" s="8" t="s">
        <v>223</v>
      </c>
      <c r="I233" s="8" t="s">
        <v>603</v>
      </c>
    </row>
    <row r="234" spans="1:9" ht="17.399999999999999" x14ac:dyDescent="0.3">
      <c r="A234" s="82"/>
      <c r="B234" s="75"/>
      <c r="C234" s="8"/>
      <c r="D234" s="8"/>
      <c r="H234" s="94" t="s">
        <v>224</v>
      </c>
      <c r="I234" s="94"/>
    </row>
    <row r="235" spans="1:9" ht="15" x14ac:dyDescent="0.25">
      <c r="A235" s="140"/>
      <c r="B235" s="23"/>
      <c r="C235" s="8"/>
      <c r="D235" s="8"/>
      <c r="H235" s="8" t="s">
        <v>225</v>
      </c>
      <c r="I235" s="8" t="s">
        <v>604</v>
      </c>
    </row>
    <row r="236" spans="1:9" ht="15" x14ac:dyDescent="0.25">
      <c r="A236" s="140"/>
      <c r="B236" s="23"/>
      <c r="C236" s="8"/>
      <c r="D236" s="8"/>
      <c r="H236" s="8" t="s">
        <v>226</v>
      </c>
      <c r="I236" s="8" t="s">
        <v>605</v>
      </c>
    </row>
    <row r="237" spans="1:9" ht="17.399999999999999" x14ac:dyDescent="0.3">
      <c r="A237" s="82"/>
      <c r="B237" s="70"/>
      <c r="C237" s="8"/>
      <c r="D237" s="8"/>
      <c r="H237" s="94" t="s">
        <v>248</v>
      </c>
      <c r="I237" s="94"/>
    </row>
    <row r="238" spans="1:9" ht="15" x14ac:dyDescent="0.25">
      <c r="A238" s="140"/>
      <c r="B238" s="23"/>
      <c r="C238" s="8"/>
      <c r="D238" s="8"/>
      <c r="H238" s="8" t="s">
        <v>227</v>
      </c>
      <c r="I238" s="8" t="s">
        <v>606</v>
      </c>
    </row>
    <row r="239" spans="1:9" ht="15" x14ac:dyDescent="0.25">
      <c r="A239" s="140"/>
      <c r="B239" s="23"/>
      <c r="C239" s="8"/>
      <c r="D239" s="8"/>
      <c r="H239" s="8" t="s">
        <v>228</v>
      </c>
      <c r="I239" s="8" t="s">
        <v>607</v>
      </c>
    </row>
    <row r="240" spans="1:9" ht="15" x14ac:dyDescent="0.25">
      <c r="A240" s="140"/>
      <c r="B240" s="23"/>
      <c r="C240" s="8"/>
      <c r="D240" s="8"/>
      <c r="H240" s="8" t="s">
        <v>229</v>
      </c>
      <c r="I240" s="8" t="s">
        <v>608</v>
      </c>
    </row>
    <row r="241" spans="1:9" ht="15" x14ac:dyDescent="0.25">
      <c r="A241" s="140"/>
      <c r="B241" s="70"/>
      <c r="C241" s="8"/>
      <c r="D241" s="8"/>
      <c r="H241" s="94" t="s">
        <v>251</v>
      </c>
      <c r="I241" s="94"/>
    </row>
    <row r="242" spans="1:9" ht="17.399999999999999" x14ac:dyDescent="0.3">
      <c r="A242" s="82"/>
      <c r="B242" s="23"/>
      <c r="C242" s="8"/>
      <c r="D242" s="8"/>
      <c r="H242" s="8" t="s">
        <v>252</v>
      </c>
      <c r="I242" s="8" t="s">
        <v>609</v>
      </c>
    </row>
    <row r="243" spans="1:9" ht="15" x14ac:dyDescent="0.25">
      <c r="A243" s="140"/>
      <c r="B243" s="15"/>
      <c r="C243" s="8"/>
      <c r="D243" s="8"/>
      <c r="H243" s="8" t="s">
        <v>191</v>
      </c>
      <c r="I243" s="8" t="s">
        <v>610</v>
      </c>
    </row>
    <row r="244" spans="1:9" ht="15" x14ac:dyDescent="0.25">
      <c r="A244" s="140"/>
      <c r="B244" s="15"/>
      <c r="C244" s="8"/>
      <c r="D244" s="8"/>
      <c r="H244" s="8" t="s">
        <v>192</v>
      </c>
      <c r="I244" s="8" t="s">
        <v>611</v>
      </c>
    </row>
    <row r="245" spans="1:9" ht="17.399999999999999" x14ac:dyDescent="0.3">
      <c r="A245" s="108"/>
      <c r="B245" s="15"/>
      <c r="C245" s="8"/>
      <c r="D245" s="8"/>
      <c r="H245" s="8" t="s">
        <v>249</v>
      </c>
      <c r="I245" s="8" t="s">
        <v>612</v>
      </c>
    </row>
    <row r="246" spans="1:9" ht="15" x14ac:dyDescent="0.25">
      <c r="A246" s="140"/>
      <c r="B246" s="15"/>
      <c r="C246" s="8"/>
      <c r="D246" s="8"/>
      <c r="H246" s="8" t="s">
        <v>250</v>
      </c>
      <c r="I246" s="8" t="s">
        <v>613</v>
      </c>
    </row>
    <row r="247" spans="1:9" ht="15" x14ac:dyDescent="0.25">
      <c r="A247" s="140"/>
      <c r="B247" s="15"/>
      <c r="C247" s="8"/>
      <c r="D247" s="8"/>
      <c r="H247" s="8" t="s">
        <v>203</v>
      </c>
      <c r="I247" s="8" t="s">
        <v>644</v>
      </c>
    </row>
    <row r="248" spans="1:9" ht="15" x14ac:dyDescent="0.25">
      <c r="A248" s="140"/>
      <c r="B248" s="8"/>
      <c r="C248" s="8"/>
      <c r="D248" s="8"/>
      <c r="H248" s="94" t="s">
        <v>389</v>
      </c>
      <c r="I248" s="94"/>
    </row>
    <row r="249" spans="1:9" ht="17.399999999999999" x14ac:dyDescent="0.3">
      <c r="A249" s="108"/>
      <c r="B249" s="8"/>
      <c r="C249" s="8"/>
      <c r="D249" s="8"/>
      <c r="H249" s="8" t="s">
        <v>614</v>
      </c>
      <c r="I249" s="8" t="s">
        <v>645</v>
      </c>
    </row>
    <row r="250" spans="1:9" ht="15" x14ac:dyDescent="0.25">
      <c r="A250" s="140"/>
      <c r="B250" s="8"/>
      <c r="C250" s="8"/>
      <c r="D250" s="8"/>
      <c r="H250" s="8" t="s">
        <v>615</v>
      </c>
      <c r="I250" s="8" t="s">
        <v>646</v>
      </c>
    </row>
    <row r="251" spans="1:9" ht="15" x14ac:dyDescent="0.25">
      <c r="A251" s="140"/>
      <c r="B251" s="8"/>
      <c r="C251" s="8"/>
      <c r="D251" s="8"/>
      <c r="H251" s="8" t="s">
        <v>616</v>
      </c>
      <c r="I251" s="8" t="s">
        <v>647</v>
      </c>
    </row>
    <row r="252" spans="1:9" ht="15" x14ac:dyDescent="0.25">
      <c r="A252" s="140"/>
      <c r="B252" s="8"/>
      <c r="C252" s="8"/>
      <c r="D252" s="8"/>
      <c r="H252" s="8" t="s">
        <v>617</v>
      </c>
      <c r="I252" s="8" t="s">
        <v>648</v>
      </c>
    </row>
    <row r="253" spans="1:9" ht="15" x14ac:dyDescent="0.25">
      <c r="A253" s="140"/>
      <c r="B253" s="8"/>
      <c r="C253" s="8"/>
      <c r="D253" s="8"/>
      <c r="H253" s="8" t="s">
        <v>618</v>
      </c>
      <c r="I253" s="8" t="s">
        <v>649</v>
      </c>
    </row>
    <row r="254" spans="1:9" ht="15" x14ac:dyDescent="0.25">
      <c r="A254" s="140"/>
      <c r="B254" s="8"/>
      <c r="C254" s="8"/>
      <c r="D254" s="8"/>
      <c r="H254" s="8" t="s">
        <v>619</v>
      </c>
      <c r="I254" s="8" t="s">
        <v>650</v>
      </c>
    </row>
    <row r="255" spans="1:9" ht="15" x14ac:dyDescent="0.25">
      <c r="A255" s="140"/>
      <c r="B255" s="8"/>
      <c r="C255" s="8"/>
      <c r="D255" s="8"/>
      <c r="H255" s="8" t="s">
        <v>620</v>
      </c>
      <c r="I255" s="8" t="s">
        <v>651</v>
      </c>
    </row>
    <row r="256" spans="1:9" ht="15" x14ac:dyDescent="0.25">
      <c r="A256" s="75"/>
      <c r="B256" s="8"/>
      <c r="C256" s="8"/>
      <c r="D256" s="8"/>
      <c r="H256" s="8" t="s">
        <v>621</v>
      </c>
      <c r="I256" s="8" t="s">
        <v>652</v>
      </c>
    </row>
    <row r="257" spans="1:9" ht="15" x14ac:dyDescent="0.25">
      <c r="A257" s="140"/>
      <c r="B257" s="8"/>
      <c r="C257" s="8"/>
      <c r="D257" s="8"/>
      <c r="H257" s="8" t="s">
        <v>622</v>
      </c>
      <c r="I257" s="8" t="s">
        <v>653</v>
      </c>
    </row>
    <row r="258" spans="1:9" ht="15" x14ac:dyDescent="0.25">
      <c r="A258" s="140"/>
      <c r="B258" s="8"/>
      <c r="C258" s="8"/>
      <c r="D258" s="8"/>
      <c r="H258" s="8" t="s">
        <v>623</v>
      </c>
      <c r="I258" s="8" t="s">
        <v>654</v>
      </c>
    </row>
    <row r="259" spans="1:9" ht="15" x14ac:dyDescent="0.25">
      <c r="A259" s="140"/>
      <c r="B259" s="8"/>
      <c r="C259" s="8"/>
      <c r="D259" s="8"/>
      <c r="H259" s="8" t="s">
        <v>624</v>
      </c>
      <c r="I259" s="8" t="s">
        <v>655</v>
      </c>
    </row>
    <row r="260" spans="1:9" ht="15" x14ac:dyDescent="0.25">
      <c r="A260" s="140"/>
      <c r="B260" s="8"/>
      <c r="C260" s="8"/>
      <c r="D260" s="8"/>
      <c r="H260" s="8" t="s">
        <v>625</v>
      </c>
      <c r="I260" s="8" t="s">
        <v>656</v>
      </c>
    </row>
    <row r="261" spans="1:9" ht="15" x14ac:dyDescent="0.25">
      <c r="A261" s="140"/>
      <c r="B261" s="8"/>
      <c r="C261" s="8"/>
      <c r="D261" s="8"/>
      <c r="H261" s="8" t="s">
        <v>626</v>
      </c>
      <c r="I261" s="8" t="s">
        <v>657</v>
      </c>
    </row>
    <row r="262" spans="1:9" ht="15" x14ac:dyDescent="0.25">
      <c r="A262" s="140"/>
      <c r="B262" s="8"/>
      <c r="C262" s="8"/>
      <c r="D262" s="8"/>
      <c r="H262" s="8" t="s">
        <v>627</v>
      </c>
      <c r="I262" s="8" t="s">
        <v>658</v>
      </c>
    </row>
    <row r="263" spans="1:9" ht="15" x14ac:dyDescent="0.25">
      <c r="A263" s="140"/>
      <c r="B263" s="8"/>
      <c r="C263" s="8"/>
      <c r="D263" s="8"/>
      <c r="H263" s="8" t="s">
        <v>628</v>
      </c>
      <c r="I263" s="8" t="s">
        <v>659</v>
      </c>
    </row>
    <row r="264" spans="1:9" ht="15" x14ac:dyDescent="0.25">
      <c r="A264" s="140"/>
      <c r="B264" s="8"/>
      <c r="C264" s="8"/>
      <c r="D264" s="8"/>
      <c r="H264" s="8" t="s">
        <v>629</v>
      </c>
      <c r="I264" s="8" t="s">
        <v>660</v>
      </c>
    </row>
    <row r="265" spans="1:9" ht="15" x14ac:dyDescent="0.25">
      <c r="A265" s="140"/>
      <c r="B265" s="8"/>
      <c r="C265" s="8"/>
      <c r="D265" s="8"/>
      <c r="H265" s="8" t="s">
        <v>630</v>
      </c>
      <c r="I265" s="8" t="s">
        <v>661</v>
      </c>
    </row>
    <row r="266" spans="1:9" ht="15" x14ac:dyDescent="0.25">
      <c r="A266" s="140"/>
      <c r="B266" s="15"/>
      <c r="C266" s="8"/>
      <c r="D266" s="8"/>
      <c r="H266" s="8" t="s">
        <v>631</v>
      </c>
      <c r="I266" s="8" t="s">
        <v>662</v>
      </c>
    </row>
    <row r="267" spans="1:9" ht="15" x14ac:dyDescent="0.25">
      <c r="A267" s="140"/>
      <c r="B267" s="15"/>
      <c r="C267" s="8"/>
      <c r="D267" s="8"/>
      <c r="H267" s="8" t="s">
        <v>632</v>
      </c>
      <c r="I267" s="8" t="s">
        <v>663</v>
      </c>
    </row>
    <row r="268" spans="1:9" ht="15" x14ac:dyDescent="0.25">
      <c r="A268" s="140"/>
      <c r="B268" s="15"/>
      <c r="C268" s="8"/>
      <c r="D268" s="8"/>
      <c r="H268" s="8" t="s">
        <v>633</v>
      </c>
      <c r="I268" s="8" t="s">
        <v>664</v>
      </c>
    </row>
    <row r="269" spans="1:9" ht="15" x14ac:dyDescent="0.25">
      <c r="A269" s="140"/>
      <c r="B269" s="15"/>
      <c r="C269" s="8"/>
      <c r="D269" s="8"/>
      <c r="H269" s="8" t="s">
        <v>634</v>
      </c>
      <c r="I269" s="8" t="s">
        <v>665</v>
      </c>
    </row>
    <row r="270" spans="1:9" ht="15" x14ac:dyDescent="0.25">
      <c r="A270" s="140"/>
      <c r="B270" s="70"/>
      <c r="C270" s="8"/>
      <c r="D270" s="8"/>
      <c r="H270" s="8" t="s">
        <v>635</v>
      </c>
      <c r="I270" s="8" t="s">
        <v>666</v>
      </c>
    </row>
    <row r="271" spans="1:9" ht="15" x14ac:dyDescent="0.25">
      <c r="A271" s="140"/>
      <c r="B271" s="14"/>
      <c r="C271" s="8"/>
      <c r="D271" s="8"/>
      <c r="H271" s="94" t="s">
        <v>636</v>
      </c>
      <c r="I271" s="94"/>
    </row>
    <row r="272" spans="1:9" ht="15" x14ac:dyDescent="0.25">
      <c r="A272" s="140"/>
      <c r="B272" s="23"/>
      <c r="C272" s="8"/>
      <c r="D272" s="8"/>
      <c r="H272" s="8" t="s">
        <v>637</v>
      </c>
      <c r="I272" s="8" t="s">
        <v>667</v>
      </c>
    </row>
    <row r="273" spans="1:9" ht="15" x14ac:dyDescent="0.25">
      <c r="A273" s="140"/>
      <c r="B273" s="23"/>
      <c r="C273" s="8"/>
      <c r="D273" s="8"/>
      <c r="H273" s="8" t="s">
        <v>638</v>
      </c>
      <c r="I273" s="8" t="s">
        <v>668</v>
      </c>
    </row>
    <row r="274" spans="1:9" ht="15" x14ac:dyDescent="0.25">
      <c r="A274" s="140"/>
      <c r="B274" s="23"/>
      <c r="C274" s="8"/>
      <c r="D274" s="8"/>
      <c r="H274" s="8" t="s">
        <v>639</v>
      </c>
      <c r="I274" s="8" t="s">
        <v>669</v>
      </c>
    </row>
    <row r="275" spans="1:9" ht="15" x14ac:dyDescent="0.25">
      <c r="A275" s="140"/>
      <c r="B275" s="23"/>
      <c r="C275" s="8"/>
      <c r="D275" s="8"/>
      <c r="H275" s="8" t="s">
        <v>640</v>
      </c>
      <c r="I275" s="8" t="s">
        <v>670</v>
      </c>
    </row>
    <row r="276" spans="1:9" ht="15" x14ac:dyDescent="0.25">
      <c r="A276" s="140"/>
      <c r="B276" s="8"/>
      <c r="C276" s="8"/>
      <c r="D276" s="8"/>
      <c r="H276" s="8" t="s">
        <v>641</v>
      </c>
      <c r="I276" s="8" t="s">
        <v>671</v>
      </c>
    </row>
    <row r="277" spans="1:9" ht="15" x14ac:dyDescent="0.25">
      <c r="A277" s="140"/>
      <c r="B277" s="8"/>
      <c r="C277" s="8"/>
      <c r="D277" s="8"/>
      <c r="H277" s="8" t="s">
        <v>642</v>
      </c>
      <c r="I277" s="8" t="s">
        <v>672</v>
      </c>
    </row>
    <row r="278" spans="1:9" ht="15" x14ac:dyDescent="0.25">
      <c r="A278" s="140"/>
      <c r="B278" s="76"/>
      <c r="C278" s="8"/>
      <c r="D278" s="8"/>
      <c r="H278" s="8" t="s">
        <v>643</v>
      </c>
      <c r="I278" s="8" t="s">
        <v>719</v>
      </c>
    </row>
    <row r="279" spans="1:9" x14ac:dyDescent="0.25">
      <c r="A279" s="76"/>
      <c r="B279" s="8"/>
      <c r="C279" s="8"/>
      <c r="D279" s="8"/>
      <c r="H279" s="8" t="s">
        <v>751</v>
      </c>
      <c r="I279" s="8" t="s">
        <v>752</v>
      </c>
    </row>
    <row r="280" spans="1:9" ht="15" x14ac:dyDescent="0.25">
      <c r="A280" s="140"/>
      <c r="B280" s="8"/>
      <c r="C280" s="8"/>
      <c r="D280" s="8"/>
      <c r="H280" s="8" t="s">
        <v>754</v>
      </c>
      <c r="I280" s="8" t="s">
        <v>753</v>
      </c>
    </row>
    <row r="281" spans="1:9" ht="15" x14ac:dyDescent="0.25">
      <c r="A281" s="140"/>
      <c r="B281" s="8"/>
      <c r="C281" s="8"/>
      <c r="D281" s="8"/>
      <c r="H281" s="8" t="s">
        <v>92</v>
      </c>
      <c r="I281" s="8" t="s">
        <v>755</v>
      </c>
    </row>
    <row r="282" spans="1:9" ht="15" x14ac:dyDescent="0.25">
      <c r="A282" s="140"/>
      <c r="B282" s="8"/>
      <c r="C282" s="8"/>
      <c r="D282" s="8"/>
      <c r="H282" s="8" t="s">
        <v>987</v>
      </c>
      <c r="I282" s="8" t="s">
        <v>756</v>
      </c>
    </row>
    <row r="283" spans="1:9" ht="15" x14ac:dyDescent="0.25">
      <c r="A283" s="140"/>
      <c r="B283" s="8"/>
      <c r="C283" s="8"/>
      <c r="D283" s="8"/>
      <c r="H283" s="8"/>
      <c r="I283" s="8"/>
    </row>
    <row r="284" spans="1:9" ht="15" x14ac:dyDescent="0.25">
      <c r="A284" s="140"/>
    </row>
    <row r="285" spans="1:9" ht="15" x14ac:dyDescent="0.25">
      <c r="A285" s="140"/>
    </row>
    <row r="286" spans="1:9" ht="15" x14ac:dyDescent="0.25">
      <c r="A286" s="14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A2F91-D210-48ED-B9A7-7BDC9FDFA1DE}">
  <dimension ref="A1:I284"/>
  <sheetViews>
    <sheetView topLeftCell="A271" workbookViewId="0">
      <selection activeCell="D282" sqref="D282"/>
    </sheetView>
  </sheetViews>
  <sheetFormatPr baseColWidth="10" defaultRowHeight="13.2" x14ac:dyDescent="0.25"/>
  <cols>
    <col min="1" max="1" width="44.77734375" customWidth="1"/>
    <col min="2" max="2" width="10.88671875" customWidth="1"/>
    <col min="5" max="5" width="15" customWidth="1"/>
    <col min="6" max="6" width="13.109375" customWidth="1"/>
    <col min="7" max="7" width="20.33203125" customWidth="1"/>
    <col min="8" max="8" width="61.77734375" customWidth="1"/>
    <col min="9" max="9" width="39.33203125" customWidth="1"/>
  </cols>
  <sheetData>
    <row r="1" spans="1:9" x14ac:dyDescent="0.25">
      <c r="A1" t="s">
        <v>233</v>
      </c>
    </row>
    <row r="3" spans="1:9" ht="17.399999999999999" x14ac:dyDescent="0.3">
      <c r="A3" s="78" t="s">
        <v>0</v>
      </c>
      <c r="B3" s="78" t="s">
        <v>391</v>
      </c>
      <c r="C3" s="79" t="s">
        <v>12</v>
      </c>
      <c r="D3" s="80" t="s">
        <v>13</v>
      </c>
      <c r="E3" s="80" t="s">
        <v>699</v>
      </c>
      <c r="F3" s="80" t="s">
        <v>392</v>
      </c>
      <c r="G3" s="80" t="s">
        <v>702</v>
      </c>
      <c r="H3" s="80" t="s">
        <v>675</v>
      </c>
      <c r="I3" s="141" t="s">
        <v>698</v>
      </c>
    </row>
    <row r="4" spans="1:9" ht="17.399999999999999" x14ac:dyDescent="0.3">
      <c r="A4" s="69" t="s">
        <v>36</v>
      </c>
      <c r="B4" s="69"/>
      <c r="C4" s="69"/>
      <c r="D4" s="75"/>
      <c r="E4" s="70"/>
      <c r="F4" s="70"/>
      <c r="G4" s="70"/>
      <c r="H4" s="76"/>
    </row>
    <row r="5" spans="1:9" ht="15" x14ac:dyDescent="0.25">
      <c r="A5" s="14" t="s">
        <v>37</v>
      </c>
      <c r="B5" s="140" t="s">
        <v>393</v>
      </c>
      <c r="C5" s="15">
        <v>4</v>
      </c>
      <c r="D5" s="51">
        <v>2678.07</v>
      </c>
      <c r="E5" s="16">
        <f t="shared" ref="E5:E68" si="0">D5*C5</f>
        <v>10712.28</v>
      </c>
      <c r="F5" s="8" t="s">
        <v>692</v>
      </c>
      <c r="G5" s="8"/>
      <c r="H5" s="8" t="s">
        <v>676</v>
      </c>
    </row>
    <row r="6" spans="1:9" ht="15" x14ac:dyDescent="0.25">
      <c r="A6" s="14" t="s">
        <v>373</v>
      </c>
      <c r="B6" s="140" t="s">
        <v>394</v>
      </c>
      <c r="C6" s="15">
        <v>2</v>
      </c>
      <c r="D6" s="14">
        <v>2070.5100000000002</v>
      </c>
      <c r="E6" s="16">
        <f t="shared" si="0"/>
        <v>4141.0200000000004</v>
      </c>
      <c r="F6" s="8" t="s">
        <v>692</v>
      </c>
      <c r="G6" s="8"/>
      <c r="H6" s="8" t="s">
        <v>676</v>
      </c>
    </row>
    <row r="7" spans="1:9" ht="15" x14ac:dyDescent="0.25">
      <c r="A7" s="14" t="s">
        <v>375</v>
      </c>
      <c r="B7" s="140" t="s">
        <v>395</v>
      </c>
      <c r="C7" s="15">
        <v>9</v>
      </c>
      <c r="D7" s="14">
        <v>3885</v>
      </c>
      <c r="E7" s="16">
        <f t="shared" si="0"/>
        <v>34965</v>
      </c>
      <c r="F7" s="8" t="s">
        <v>692</v>
      </c>
      <c r="G7" s="8"/>
      <c r="H7" s="8" t="s">
        <v>676</v>
      </c>
    </row>
    <row r="8" spans="1:9" ht="15" x14ac:dyDescent="0.25">
      <c r="A8" s="14" t="s">
        <v>454</v>
      </c>
      <c r="B8" s="140" t="s">
        <v>396</v>
      </c>
      <c r="C8" s="15">
        <v>2</v>
      </c>
      <c r="D8" s="14">
        <v>3885</v>
      </c>
      <c r="E8" s="16">
        <f t="shared" si="0"/>
        <v>7770</v>
      </c>
      <c r="F8" s="8" t="s">
        <v>692</v>
      </c>
      <c r="G8" s="8"/>
      <c r="H8" s="8" t="s">
        <v>676</v>
      </c>
    </row>
    <row r="9" spans="1:9" ht="15" x14ac:dyDescent="0.25">
      <c r="A9" s="14" t="s">
        <v>374</v>
      </c>
      <c r="B9" s="140" t="s">
        <v>397</v>
      </c>
      <c r="C9" s="15">
        <v>11</v>
      </c>
      <c r="D9" s="14">
        <v>3885</v>
      </c>
      <c r="E9" s="16">
        <f t="shared" si="0"/>
        <v>42735</v>
      </c>
      <c r="F9" s="8" t="s">
        <v>692</v>
      </c>
      <c r="G9" s="8"/>
      <c r="H9" s="8" t="s">
        <v>676</v>
      </c>
    </row>
    <row r="10" spans="1:9" ht="15" x14ac:dyDescent="0.25">
      <c r="A10" s="14" t="s">
        <v>376</v>
      </c>
      <c r="B10" s="140" t="s">
        <v>398</v>
      </c>
      <c r="C10" s="15">
        <v>10</v>
      </c>
      <c r="D10" s="14">
        <v>6730</v>
      </c>
      <c r="E10" s="16">
        <f t="shared" si="0"/>
        <v>67300</v>
      </c>
      <c r="F10" s="8" t="s">
        <v>692</v>
      </c>
      <c r="G10" s="8"/>
      <c r="H10" s="8" t="s">
        <v>676</v>
      </c>
    </row>
    <row r="11" spans="1:9" ht="15" x14ac:dyDescent="0.25">
      <c r="A11" s="14" t="s">
        <v>377</v>
      </c>
      <c r="B11" s="140" t="s">
        <v>399</v>
      </c>
      <c r="C11" s="15">
        <v>5</v>
      </c>
      <c r="D11" s="14">
        <v>6730</v>
      </c>
      <c r="E11" s="16">
        <f t="shared" si="0"/>
        <v>33650</v>
      </c>
      <c r="F11" s="8" t="s">
        <v>692</v>
      </c>
      <c r="G11" s="8"/>
      <c r="H11" s="8" t="s">
        <v>676</v>
      </c>
    </row>
    <row r="12" spans="1:9" ht="15" x14ac:dyDescent="0.25">
      <c r="A12" s="14" t="s">
        <v>378</v>
      </c>
      <c r="B12" s="140" t="s">
        <v>400</v>
      </c>
      <c r="C12" s="15">
        <v>9</v>
      </c>
      <c r="D12" s="14">
        <v>6730</v>
      </c>
      <c r="E12" s="16">
        <f t="shared" si="0"/>
        <v>60570</v>
      </c>
      <c r="F12" s="8" t="s">
        <v>692</v>
      </c>
      <c r="G12" s="8"/>
      <c r="H12" s="8" t="s">
        <v>676</v>
      </c>
    </row>
    <row r="13" spans="1:9" ht="15" x14ac:dyDescent="0.25">
      <c r="A13" s="14" t="s">
        <v>379</v>
      </c>
      <c r="B13" s="140" t="s">
        <v>401</v>
      </c>
      <c r="C13" s="15">
        <v>9</v>
      </c>
      <c r="D13" s="14">
        <v>6730</v>
      </c>
      <c r="E13" s="16">
        <f t="shared" si="0"/>
        <v>60570</v>
      </c>
      <c r="F13" s="8" t="s">
        <v>692</v>
      </c>
      <c r="G13" s="8"/>
      <c r="H13" s="8" t="s">
        <v>676</v>
      </c>
    </row>
    <row r="14" spans="1:9" ht="15" x14ac:dyDescent="0.25">
      <c r="A14" s="14" t="s">
        <v>380</v>
      </c>
      <c r="B14" s="140" t="s">
        <v>402</v>
      </c>
      <c r="C14" s="15">
        <v>8</v>
      </c>
      <c r="D14" s="14">
        <v>6730</v>
      </c>
      <c r="E14" s="16">
        <f t="shared" si="0"/>
        <v>53840</v>
      </c>
      <c r="F14" s="8" t="s">
        <v>692</v>
      </c>
      <c r="G14" s="8"/>
      <c r="H14" s="8" t="s">
        <v>676</v>
      </c>
    </row>
    <row r="15" spans="1:9" ht="15" x14ac:dyDescent="0.25">
      <c r="A15" s="14" t="s">
        <v>381</v>
      </c>
      <c r="B15" s="140" t="s">
        <v>403</v>
      </c>
      <c r="C15" s="15">
        <v>8</v>
      </c>
      <c r="D15" s="14">
        <v>6730</v>
      </c>
      <c r="E15" s="16">
        <f t="shared" si="0"/>
        <v>53840</v>
      </c>
      <c r="F15" s="8" t="s">
        <v>692</v>
      </c>
      <c r="G15" s="8"/>
      <c r="H15" s="8" t="s">
        <v>676</v>
      </c>
    </row>
    <row r="16" spans="1:9" ht="15" x14ac:dyDescent="0.25">
      <c r="A16" s="14" t="s">
        <v>382</v>
      </c>
      <c r="B16" s="140" t="s">
        <v>404</v>
      </c>
      <c r="C16" s="15">
        <v>4</v>
      </c>
      <c r="D16" s="14">
        <v>7207.83</v>
      </c>
      <c r="E16" s="16">
        <f t="shared" si="0"/>
        <v>28831.32</v>
      </c>
      <c r="F16" s="8" t="s">
        <v>692</v>
      </c>
      <c r="G16" s="8"/>
      <c r="H16" s="8" t="s">
        <v>676</v>
      </c>
    </row>
    <row r="17" spans="1:8" ht="15" x14ac:dyDescent="0.25">
      <c r="A17" s="14" t="s">
        <v>750</v>
      </c>
      <c r="B17" s="140" t="s">
        <v>405</v>
      </c>
      <c r="C17" s="15">
        <v>14</v>
      </c>
      <c r="D17" s="14">
        <v>4435.9799999999996</v>
      </c>
      <c r="E17" s="16">
        <f t="shared" si="0"/>
        <v>62103.719999999994</v>
      </c>
      <c r="F17" s="8" t="s">
        <v>692</v>
      </c>
      <c r="G17" s="8"/>
      <c r="H17" s="8" t="s">
        <v>676</v>
      </c>
    </row>
    <row r="18" spans="1:8" ht="15" x14ac:dyDescent="0.25">
      <c r="A18" s="14" t="s">
        <v>41</v>
      </c>
      <c r="B18" s="140" t="s">
        <v>406</v>
      </c>
      <c r="C18" s="15">
        <v>2</v>
      </c>
      <c r="D18" s="14">
        <v>8449.49</v>
      </c>
      <c r="E18" s="16">
        <f t="shared" si="0"/>
        <v>16898.98</v>
      </c>
      <c r="F18" s="8" t="s">
        <v>692</v>
      </c>
      <c r="G18" s="8"/>
      <c r="H18" s="8" t="s">
        <v>676</v>
      </c>
    </row>
    <row r="19" spans="1:8" ht="15" x14ac:dyDescent="0.25">
      <c r="A19" s="14" t="s">
        <v>42</v>
      </c>
      <c r="B19" s="140" t="s">
        <v>407</v>
      </c>
      <c r="C19" s="15"/>
      <c r="D19" s="8"/>
      <c r="E19" s="16">
        <f t="shared" si="0"/>
        <v>0</v>
      </c>
      <c r="F19" s="8" t="s">
        <v>692</v>
      </c>
      <c r="G19" s="8"/>
      <c r="H19" s="8" t="s">
        <v>676</v>
      </c>
    </row>
    <row r="20" spans="1:8" ht="15" x14ac:dyDescent="0.25">
      <c r="A20" s="14" t="s">
        <v>383</v>
      </c>
      <c r="B20" s="140" t="s">
        <v>408</v>
      </c>
      <c r="C20" s="15">
        <v>2</v>
      </c>
      <c r="D20" s="14">
        <v>9813.5</v>
      </c>
      <c r="E20" s="16">
        <f t="shared" si="0"/>
        <v>19627</v>
      </c>
      <c r="F20" s="8" t="s">
        <v>692</v>
      </c>
      <c r="G20" s="8"/>
      <c r="H20" s="8" t="s">
        <v>676</v>
      </c>
    </row>
    <row r="21" spans="1:8" ht="15" x14ac:dyDescent="0.25">
      <c r="A21" s="14" t="s">
        <v>44</v>
      </c>
      <c r="B21" s="140" t="s">
        <v>409</v>
      </c>
      <c r="C21" s="15">
        <v>11</v>
      </c>
      <c r="D21" s="8">
        <v>9261.2999999999993</v>
      </c>
      <c r="E21" s="16">
        <f t="shared" si="0"/>
        <v>101874.29999999999</v>
      </c>
      <c r="F21" s="8" t="s">
        <v>692</v>
      </c>
      <c r="G21" s="8"/>
      <c r="H21" s="8" t="s">
        <v>676</v>
      </c>
    </row>
    <row r="22" spans="1:8" ht="15" x14ac:dyDescent="0.25">
      <c r="A22" s="14" t="s">
        <v>45</v>
      </c>
      <c r="B22" s="140" t="s">
        <v>410</v>
      </c>
      <c r="C22" s="15"/>
      <c r="D22" s="8"/>
      <c r="E22" s="16">
        <f t="shared" si="0"/>
        <v>0</v>
      </c>
      <c r="F22" s="8" t="s">
        <v>692</v>
      </c>
      <c r="G22" s="8"/>
      <c r="H22" s="8" t="s">
        <v>676</v>
      </c>
    </row>
    <row r="23" spans="1:8" ht="17.399999999999999" x14ac:dyDescent="0.3">
      <c r="A23" s="73" t="s">
        <v>46</v>
      </c>
      <c r="B23" s="73"/>
      <c r="C23" s="74"/>
      <c r="D23" s="8"/>
      <c r="E23" s="16">
        <f t="shared" si="0"/>
        <v>0</v>
      </c>
      <c r="F23" s="8"/>
      <c r="G23" s="8"/>
      <c r="H23" s="8"/>
    </row>
    <row r="24" spans="1:8" ht="15" x14ac:dyDescent="0.25">
      <c r="A24" s="14" t="s">
        <v>47</v>
      </c>
      <c r="B24" s="140" t="s">
        <v>411</v>
      </c>
      <c r="C24" s="15">
        <v>2</v>
      </c>
      <c r="D24" s="14">
        <v>1066.5</v>
      </c>
      <c r="E24" s="16">
        <f t="shared" si="0"/>
        <v>2133</v>
      </c>
      <c r="F24" s="8" t="s">
        <v>692</v>
      </c>
      <c r="G24" s="8"/>
      <c r="H24" s="8" t="s">
        <v>677</v>
      </c>
    </row>
    <row r="25" spans="1:8" ht="15" x14ac:dyDescent="0.25">
      <c r="A25" s="14" t="s">
        <v>385</v>
      </c>
      <c r="B25" s="140" t="s">
        <v>412</v>
      </c>
      <c r="C25" s="15">
        <v>8</v>
      </c>
      <c r="D25" s="14">
        <v>844</v>
      </c>
      <c r="E25" s="16">
        <f t="shared" si="0"/>
        <v>6752</v>
      </c>
      <c r="F25" s="8" t="s">
        <v>692</v>
      </c>
      <c r="G25" s="8"/>
      <c r="H25" s="8" t="s">
        <v>677</v>
      </c>
    </row>
    <row r="26" spans="1:8" ht="15" x14ac:dyDescent="0.25">
      <c r="A26" s="14" t="s">
        <v>48</v>
      </c>
      <c r="B26" s="140" t="s">
        <v>413</v>
      </c>
      <c r="C26" s="15">
        <v>24</v>
      </c>
      <c r="D26" s="14">
        <v>971.75</v>
      </c>
      <c r="E26" s="16">
        <f t="shared" si="0"/>
        <v>23322</v>
      </c>
      <c r="F26" s="8" t="s">
        <v>692</v>
      </c>
      <c r="G26" s="8"/>
      <c r="H26" s="8" t="s">
        <v>677</v>
      </c>
    </row>
    <row r="27" spans="1:8" ht="15" x14ac:dyDescent="0.25">
      <c r="A27" s="14" t="s">
        <v>384</v>
      </c>
      <c r="B27" s="140" t="s">
        <v>414</v>
      </c>
      <c r="C27" s="15">
        <v>12</v>
      </c>
      <c r="D27" s="14">
        <v>1066.3699999999999</v>
      </c>
      <c r="E27" s="16">
        <f t="shared" si="0"/>
        <v>12796.439999999999</v>
      </c>
      <c r="F27" s="8" t="s">
        <v>692</v>
      </c>
      <c r="G27" s="8"/>
      <c r="H27" s="8" t="s">
        <v>677</v>
      </c>
    </row>
    <row r="28" spans="1:8" ht="15" x14ac:dyDescent="0.25">
      <c r="A28" s="14" t="s">
        <v>235</v>
      </c>
      <c r="B28" s="140" t="s">
        <v>415</v>
      </c>
      <c r="C28" s="15">
        <v>30</v>
      </c>
      <c r="D28" s="14">
        <v>1063.42</v>
      </c>
      <c r="E28" s="16">
        <f t="shared" si="0"/>
        <v>31902.600000000002</v>
      </c>
      <c r="F28" s="8" t="s">
        <v>692</v>
      </c>
      <c r="G28" s="8"/>
      <c r="H28" s="8" t="s">
        <v>677</v>
      </c>
    </row>
    <row r="29" spans="1:8" ht="15" x14ac:dyDescent="0.25">
      <c r="A29" s="14" t="s">
        <v>265</v>
      </c>
      <c r="B29" s="140" t="s">
        <v>416</v>
      </c>
      <c r="C29" s="15">
        <v>5</v>
      </c>
      <c r="D29" s="14">
        <v>1176.6500000000001</v>
      </c>
      <c r="E29" s="16">
        <f t="shared" si="0"/>
        <v>5883.25</v>
      </c>
      <c r="F29" s="8" t="s">
        <v>692</v>
      </c>
      <c r="G29" s="8"/>
      <c r="H29" s="8" t="s">
        <v>677</v>
      </c>
    </row>
    <row r="30" spans="1:8" ht="15" x14ac:dyDescent="0.25">
      <c r="A30" s="14" t="s">
        <v>49</v>
      </c>
      <c r="B30" s="140" t="s">
        <v>417</v>
      </c>
      <c r="C30" s="15">
        <v>5</v>
      </c>
      <c r="D30" s="14">
        <v>1000</v>
      </c>
      <c r="E30" s="16">
        <f t="shared" si="0"/>
        <v>5000</v>
      </c>
      <c r="F30" s="8" t="s">
        <v>692</v>
      </c>
      <c r="G30" s="8"/>
      <c r="H30" s="8" t="s">
        <v>677</v>
      </c>
    </row>
    <row r="31" spans="1:8" ht="15" x14ac:dyDescent="0.25">
      <c r="A31" s="14" t="s">
        <v>386</v>
      </c>
      <c r="B31" s="140" t="s">
        <v>418</v>
      </c>
      <c r="C31" s="15">
        <v>10</v>
      </c>
      <c r="D31" s="14">
        <v>1500</v>
      </c>
      <c r="E31" s="16">
        <f t="shared" si="0"/>
        <v>15000</v>
      </c>
      <c r="F31" s="8" t="s">
        <v>692</v>
      </c>
      <c r="G31" s="8"/>
      <c r="H31" s="8" t="s">
        <v>677</v>
      </c>
    </row>
    <row r="32" spans="1:8" ht="15" x14ac:dyDescent="0.25">
      <c r="A32" s="14" t="s">
        <v>387</v>
      </c>
      <c r="B32" s="140" t="s">
        <v>419</v>
      </c>
      <c r="C32" s="15">
        <v>3</v>
      </c>
      <c r="D32" s="14">
        <v>1386</v>
      </c>
      <c r="E32" s="16">
        <f t="shared" si="0"/>
        <v>4158</v>
      </c>
      <c r="F32" s="8" t="s">
        <v>692</v>
      </c>
      <c r="G32" s="8"/>
      <c r="H32" s="8" t="s">
        <v>677</v>
      </c>
    </row>
    <row r="33" spans="1:8" ht="15" x14ac:dyDescent="0.25">
      <c r="A33" s="14" t="s">
        <v>673</v>
      </c>
      <c r="B33" s="140" t="s">
        <v>420</v>
      </c>
      <c r="C33" s="15">
        <v>20</v>
      </c>
      <c r="D33" s="15">
        <v>1626.8</v>
      </c>
      <c r="E33" s="16">
        <f t="shared" si="0"/>
        <v>32536</v>
      </c>
      <c r="F33" s="8" t="s">
        <v>692</v>
      </c>
      <c r="G33" s="8"/>
      <c r="H33" s="8" t="s">
        <v>677</v>
      </c>
    </row>
    <row r="34" spans="1:8" ht="15" x14ac:dyDescent="0.25">
      <c r="A34" s="14" t="s">
        <v>52</v>
      </c>
      <c r="B34" s="140" t="s">
        <v>421</v>
      </c>
      <c r="C34" s="15"/>
      <c r="D34" s="14"/>
      <c r="E34" s="16">
        <f t="shared" si="0"/>
        <v>0</v>
      </c>
      <c r="F34" s="8" t="s">
        <v>692</v>
      </c>
      <c r="G34" s="8"/>
      <c r="H34" s="8" t="s">
        <v>677</v>
      </c>
    </row>
    <row r="35" spans="1:8" ht="15" x14ac:dyDescent="0.25">
      <c r="A35" s="14" t="s">
        <v>53</v>
      </c>
      <c r="B35" s="140" t="s">
        <v>422</v>
      </c>
      <c r="C35" s="15"/>
      <c r="D35" s="14"/>
      <c r="E35" s="16">
        <f t="shared" si="0"/>
        <v>0</v>
      </c>
      <c r="F35" s="8" t="s">
        <v>692</v>
      </c>
      <c r="G35" s="8"/>
      <c r="H35" s="8" t="s">
        <v>677</v>
      </c>
    </row>
    <row r="36" spans="1:8" ht="17.399999999999999" x14ac:dyDescent="0.3">
      <c r="A36" s="82" t="s">
        <v>54</v>
      </c>
      <c r="B36" s="82"/>
      <c r="C36" s="74"/>
      <c r="D36" s="8"/>
      <c r="E36" s="16">
        <f t="shared" si="0"/>
        <v>0</v>
      </c>
      <c r="F36" s="8"/>
      <c r="G36" s="8"/>
      <c r="H36" s="8"/>
    </row>
    <row r="37" spans="1:8" ht="15" x14ac:dyDescent="0.25">
      <c r="A37" s="14" t="s">
        <v>20</v>
      </c>
      <c r="B37" s="140" t="s">
        <v>423</v>
      </c>
      <c r="C37" s="15">
        <v>7</v>
      </c>
      <c r="D37" s="8">
        <v>9324.66</v>
      </c>
      <c r="E37" s="16">
        <f t="shared" si="0"/>
        <v>65272.619999999995</v>
      </c>
      <c r="F37" s="8" t="s">
        <v>692</v>
      </c>
      <c r="G37" s="8"/>
      <c r="H37" s="8" t="s">
        <v>678</v>
      </c>
    </row>
    <row r="38" spans="1:8" ht="15" x14ac:dyDescent="0.25">
      <c r="A38" s="14" t="s">
        <v>263</v>
      </c>
      <c r="B38" s="140" t="s">
        <v>424</v>
      </c>
      <c r="C38" s="15"/>
      <c r="D38" s="8"/>
      <c r="E38" s="16">
        <f t="shared" si="0"/>
        <v>0</v>
      </c>
      <c r="F38" s="8" t="s">
        <v>692</v>
      </c>
      <c r="G38" s="8"/>
      <c r="H38" s="8" t="s">
        <v>678</v>
      </c>
    </row>
    <row r="39" spans="1:8" ht="15" x14ac:dyDescent="0.25">
      <c r="A39" s="14" t="s">
        <v>347</v>
      </c>
      <c r="B39" s="140" t="s">
        <v>425</v>
      </c>
      <c r="C39" s="15">
        <v>2</v>
      </c>
      <c r="D39" s="8">
        <v>9175</v>
      </c>
      <c r="E39" s="16">
        <f t="shared" si="0"/>
        <v>18350</v>
      </c>
      <c r="F39" s="8" t="s">
        <v>692</v>
      </c>
      <c r="G39" s="8"/>
      <c r="H39" s="8" t="s">
        <v>678</v>
      </c>
    </row>
    <row r="40" spans="1:8" ht="15" x14ac:dyDescent="0.25">
      <c r="A40" s="14" t="s">
        <v>352</v>
      </c>
      <c r="B40" s="140" t="s">
        <v>426</v>
      </c>
      <c r="C40" s="15">
        <v>15</v>
      </c>
      <c r="D40" s="8">
        <v>5542.41</v>
      </c>
      <c r="E40" s="16">
        <f t="shared" si="0"/>
        <v>83136.149999999994</v>
      </c>
      <c r="F40" s="8" t="s">
        <v>692</v>
      </c>
      <c r="G40" s="8"/>
      <c r="H40" s="8" t="s">
        <v>678</v>
      </c>
    </row>
    <row r="41" spans="1:8" ht="15" x14ac:dyDescent="0.25">
      <c r="A41" s="14" t="s">
        <v>55</v>
      </c>
      <c r="B41" s="140" t="s">
        <v>427</v>
      </c>
      <c r="C41" s="15">
        <v>4</v>
      </c>
      <c r="D41" s="8">
        <v>2000</v>
      </c>
      <c r="E41" s="16">
        <f t="shared" si="0"/>
        <v>8000</v>
      </c>
      <c r="F41" s="8" t="s">
        <v>692</v>
      </c>
      <c r="G41" s="8"/>
      <c r="H41" s="8" t="s">
        <v>678</v>
      </c>
    </row>
    <row r="42" spans="1:8" ht="17.399999999999999" x14ac:dyDescent="0.3">
      <c r="A42" s="82" t="s">
        <v>56</v>
      </c>
      <c r="B42" s="82"/>
      <c r="C42" s="75"/>
      <c r="D42" s="8"/>
      <c r="E42" s="16">
        <f t="shared" si="0"/>
        <v>0</v>
      </c>
      <c r="F42" s="8"/>
      <c r="G42" s="8"/>
      <c r="H42" s="8"/>
    </row>
    <row r="43" spans="1:8" ht="15" x14ac:dyDescent="0.25">
      <c r="A43" s="14" t="s">
        <v>57</v>
      </c>
      <c r="B43" s="140" t="s">
        <v>428</v>
      </c>
      <c r="C43" s="14"/>
      <c r="D43" s="8"/>
      <c r="E43" s="16">
        <f t="shared" si="0"/>
        <v>0</v>
      </c>
      <c r="F43" s="8" t="s">
        <v>692</v>
      </c>
      <c r="G43" s="8"/>
      <c r="H43" s="8" t="s">
        <v>679</v>
      </c>
    </row>
    <row r="44" spans="1:8" ht="15" x14ac:dyDescent="0.25">
      <c r="A44" s="14" t="s">
        <v>388</v>
      </c>
      <c r="B44" s="140" t="s">
        <v>429</v>
      </c>
      <c r="C44" s="14">
        <v>46</v>
      </c>
      <c r="D44" s="8">
        <v>604.79999999999995</v>
      </c>
      <c r="E44" s="16">
        <f t="shared" si="0"/>
        <v>27820.799999999999</v>
      </c>
      <c r="F44" s="8" t="s">
        <v>692</v>
      </c>
      <c r="G44" s="8"/>
      <c r="H44" s="8" t="s">
        <v>679</v>
      </c>
    </row>
    <row r="45" spans="1:8" ht="15" x14ac:dyDescent="0.25">
      <c r="A45" s="14" t="s">
        <v>264</v>
      </c>
      <c r="B45" s="140" t="s">
        <v>430</v>
      </c>
      <c r="C45" s="15">
        <v>15</v>
      </c>
      <c r="D45" s="8">
        <v>1392.81</v>
      </c>
      <c r="E45" s="16">
        <f t="shared" si="0"/>
        <v>20892.149999999998</v>
      </c>
      <c r="F45" s="8" t="s">
        <v>692</v>
      </c>
      <c r="G45" s="8"/>
      <c r="H45" s="8" t="s">
        <v>679</v>
      </c>
    </row>
    <row r="46" spans="1:8" ht="15" x14ac:dyDescent="0.25">
      <c r="A46" s="14" t="s">
        <v>58</v>
      </c>
      <c r="B46" s="140" t="s">
        <v>431</v>
      </c>
      <c r="C46" s="15">
        <v>13</v>
      </c>
      <c r="D46" s="8">
        <v>800</v>
      </c>
      <c r="E46" s="16">
        <f t="shared" si="0"/>
        <v>10400</v>
      </c>
      <c r="F46" s="8"/>
      <c r="G46" s="8"/>
      <c r="H46" s="8" t="s">
        <v>679</v>
      </c>
    </row>
    <row r="47" spans="1:8" ht="15" x14ac:dyDescent="0.25">
      <c r="A47" s="14" t="s">
        <v>59</v>
      </c>
      <c r="B47" s="140" t="s">
        <v>432</v>
      </c>
      <c r="C47" s="15"/>
      <c r="D47" s="8"/>
      <c r="E47" s="16">
        <f t="shared" si="0"/>
        <v>0</v>
      </c>
      <c r="F47" s="8" t="s">
        <v>692</v>
      </c>
      <c r="G47" s="8"/>
      <c r="H47" s="8" t="s">
        <v>679</v>
      </c>
    </row>
    <row r="48" spans="1:8" ht="15" x14ac:dyDescent="0.25">
      <c r="A48" s="14" t="s">
        <v>60</v>
      </c>
      <c r="B48" s="140" t="s">
        <v>433</v>
      </c>
      <c r="C48" s="15">
        <v>36</v>
      </c>
      <c r="D48" s="8">
        <v>654.16999999999996</v>
      </c>
      <c r="E48" s="16">
        <f t="shared" si="0"/>
        <v>23550.12</v>
      </c>
      <c r="F48" s="8" t="s">
        <v>692</v>
      </c>
      <c r="G48" s="8"/>
      <c r="H48" s="8" t="s">
        <v>679</v>
      </c>
    </row>
    <row r="49" spans="1:8" ht="15" x14ac:dyDescent="0.25">
      <c r="A49" s="14" t="s">
        <v>61</v>
      </c>
      <c r="B49" s="140" t="s">
        <v>434</v>
      </c>
      <c r="C49" s="15">
        <v>30</v>
      </c>
      <c r="D49" s="8">
        <v>63.4</v>
      </c>
      <c r="E49" s="16">
        <f t="shared" si="0"/>
        <v>1902</v>
      </c>
      <c r="F49" s="8" t="s">
        <v>693</v>
      </c>
      <c r="G49" s="8">
        <v>100169</v>
      </c>
      <c r="H49" s="8" t="s">
        <v>679</v>
      </c>
    </row>
    <row r="50" spans="1:8" ht="15" x14ac:dyDescent="0.25">
      <c r="A50" s="14" t="s">
        <v>62</v>
      </c>
      <c r="B50" s="140" t="s">
        <v>435</v>
      </c>
      <c r="C50" s="15">
        <v>40</v>
      </c>
      <c r="D50" s="8">
        <v>115.4</v>
      </c>
      <c r="E50" s="16">
        <f t="shared" si="0"/>
        <v>4616</v>
      </c>
      <c r="F50" s="8" t="s">
        <v>693</v>
      </c>
      <c r="G50" s="8">
        <v>100164</v>
      </c>
      <c r="H50" s="8" t="s">
        <v>679</v>
      </c>
    </row>
    <row r="51" spans="1:8" ht="15" x14ac:dyDescent="0.25">
      <c r="A51" s="14" t="s">
        <v>63</v>
      </c>
      <c r="B51" s="140" t="s">
        <v>436</v>
      </c>
      <c r="C51" s="15">
        <v>50</v>
      </c>
      <c r="D51" s="8">
        <v>182.56</v>
      </c>
      <c r="E51" s="16">
        <f t="shared" si="0"/>
        <v>9128</v>
      </c>
      <c r="F51" s="8" t="s">
        <v>693</v>
      </c>
      <c r="G51" s="8">
        <v>100155</v>
      </c>
      <c r="H51" s="8" t="s">
        <v>679</v>
      </c>
    </row>
    <row r="52" spans="1:8" ht="15" x14ac:dyDescent="0.25">
      <c r="A52" s="14" t="s">
        <v>64</v>
      </c>
      <c r="B52" s="140" t="s">
        <v>437</v>
      </c>
      <c r="C52" s="15">
        <v>1</v>
      </c>
      <c r="D52" s="8">
        <v>6904.3</v>
      </c>
      <c r="E52" s="16">
        <f t="shared" si="0"/>
        <v>6904.3</v>
      </c>
      <c r="F52" s="8" t="s">
        <v>692</v>
      </c>
      <c r="G52" s="8"/>
      <c r="H52" s="8" t="s">
        <v>679</v>
      </c>
    </row>
    <row r="53" spans="1:8" ht="15" x14ac:dyDescent="0.25">
      <c r="A53" s="14" t="s">
        <v>65</v>
      </c>
      <c r="B53" s="140" t="s">
        <v>438</v>
      </c>
      <c r="C53" s="15">
        <v>60</v>
      </c>
      <c r="D53" s="8">
        <v>1269.78</v>
      </c>
      <c r="E53" s="16">
        <f t="shared" si="0"/>
        <v>76186.8</v>
      </c>
      <c r="F53" s="8" t="s">
        <v>692</v>
      </c>
      <c r="G53" s="8"/>
      <c r="H53" s="8" t="s">
        <v>679</v>
      </c>
    </row>
    <row r="54" spans="1:8" ht="15" x14ac:dyDescent="0.25">
      <c r="A54" s="14" t="s">
        <v>68</v>
      </c>
      <c r="B54" s="140" t="s">
        <v>439</v>
      </c>
      <c r="C54" s="15"/>
      <c r="D54" s="8"/>
      <c r="E54" s="16">
        <f t="shared" si="0"/>
        <v>0</v>
      </c>
      <c r="F54" s="8" t="s">
        <v>692</v>
      </c>
      <c r="G54" s="8"/>
      <c r="H54" s="8" t="s">
        <v>679</v>
      </c>
    </row>
    <row r="55" spans="1:8" ht="15" x14ac:dyDescent="0.25">
      <c r="A55" s="14" t="s">
        <v>66</v>
      </c>
      <c r="B55" s="140" t="s">
        <v>440</v>
      </c>
      <c r="C55" s="15"/>
      <c r="D55" s="8"/>
      <c r="E55" s="16">
        <f t="shared" si="0"/>
        <v>0</v>
      </c>
      <c r="F55" s="8" t="s">
        <v>692</v>
      </c>
      <c r="G55" s="8"/>
      <c r="H55" s="8" t="s">
        <v>679</v>
      </c>
    </row>
    <row r="56" spans="1:8" ht="15" x14ac:dyDescent="0.25">
      <c r="A56" s="14" t="s">
        <v>67</v>
      </c>
      <c r="B56" s="140" t="s">
        <v>441</v>
      </c>
      <c r="C56" s="15">
        <v>20</v>
      </c>
      <c r="D56" s="8">
        <v>255.17</v>
      </c>
      <c r="E56" s="16">
        <f t="shared" si="0"/>
        <v>5103.3999999999996</v>
      </c>
      <c r="F56" s="8" t="s">
        <v>693</v>
      </c>
      <c r="G56" s="8">
        <v>100157</v>
      </c>
      <c r="H56" s="8" t="s">
        <v>679</v>
      </c>
    </row>
    <row r="57" spans="1:8" ht="15" x14ac:dyDescent="0.25">
      <c r="A57" s="14" t="s">
        <v>69</v>
      </c>
      <c r="B57" s="140" t="s">
        <v>442</v>
      </c>
      <c r="C57" s="15"/>
      <c r="D57" s="8"/>
      <c r="E57" s="16">
        <f t="shared" si="0"/>
        <v>0</v>
      </c>
      <c r="F57" s="8" t="s">
        <v>692</v>
      </c>
      <c r="G57" s="8"/>
      <c r="H57" s="8" t="s">
        <v>679</v>
      </c>
    </row>
    <row r="58" spans="1:8" ht="15" x14ac:dyDescent="0.25">
      <c r="A58" s="14" t="s">
        <v>70</v>
      </c>
      <c r="B58" s="140" t="s">
        <v>443</v>
      </c>
      <c r="C58" s="15"/>
      <c r="D58" s="8"/>
      <c r="E58" s="16">
        <f t="shared" si="0"/>
        <v>0</v>
      </c>
      <c r="F58" s="8" t="s">
        <v>692</v>
      </c>
      <c r="G58" s="8"/>
      <c r="H58" s="8" t="s">
        <v>679</v>
      </c>
    </row>
    <row r="59" spans="1:8" ht="17.399999999999999" x14ac:dyDescent="0.3">
      <c r="A59" s="82" t="s">
        <v>71</v>
      </c>
      <c r="B59" s="82"/>
      <c r="C59" s="74"/>
      <c r="D59" s="8"/>
      <c r="E59" s="16">
        <f t="shared" si="0"/>
        <v>0</v>
      </c>
      <c r="F59" s="8"/>
      <c r="G59" s="8"/>
      <c r="H59" s="8"/>
    </row>
    <row r="60" spans="1:8" ht="15" x14ac:dyDescent="0.25">
      <c r="A60" s="14" t="s">
        <v>72</v>
      </c>
      <c r="B60" s="140" t="s">
        <v>444</v>
      </c>
      <c r="C60" s="15"/>
      <c r="D60" s="8"/>
      <c r="E60" s="16">
        <f t="shared" si="0"/>
        <v>0</v>
      </c>
      <c r="F60" s="8"/>
      <c r="G60" s="8"/>
      <c r="H60" s="8"/>
    </row>
    <row r="61" spans="1:8" ht="15" x14ac:dyDescent="0.25">
      <c r="A61" s="14" t="s">
        <v>674</v>
      </c>
      <c r="B61" s="140" t="s">
        <v>445</v>
      </c>
      <c r="C61" s="15">
        <v>4</v>
      </c>
      <c r="D61" s="8">
        <v>5911.92</v>
      </c>
      <c r="E61" s="16">
        <f t="shared" si="0"/>
        <v>23647.68</v>
      </c>
      <c r="F61" s="8" t="s">
        <v>692</v>
      </c>
      <c r="G61" s="8"/>
      <c r="H61" s="8" t="s">
        <v>680</v>
      </c>
    </row>
    <row r="62" spans="1:8" ht="15" x14ac:dyDescent="0.25">
      <c r="A62" s="14" t="s">
        <v>74</v>
      </c>
      <c r="B62" s="140" t="s">
        <v>446</v>
      </c>
      <c r="C62" s="15">
        <v>4</v>
      </c>
      <c r="D62" s="8">
        <v>1295.3699999999999</v>
      </c>
      <c r="E62" s="16">
        <f t="shared" si="0"/>
        <v>5181.4799999999996</v>
      </c>
      <c r="F62" s="8" t="s">
        <v>692</v>
      </c>
      <c r="G62" s="8"/>
      <c r="H62" s="8" t="s">
        <v>681</v>
      </c>
    </row>
    <row r="63" spans="1:8" ht="17.399999999999999" x14ac:dyDescent="0.3">
      <c r="A63" s="82" t="s">
        <v>75</v>
      </c>
      <c r="B63" s="82"/>
      <c r="C63" s="74"/>
      <c r="D63" s="8"/>
      <c r="E63" s="16">
        <f t="shared" si="0"/>
        <v>0</v>
      </c>
      <c r="F63" s="8"/>
      <c r="G63" s="8"/>
      <c r="H63" s="8"/>
    </row>
    <row r="64" spans="1:8" ht="15" x14ac:dyDescent="0.25">
      <c r="A64" s="14" t="s">
        <v>76</v>
      </c>
      <c r="B64" s="140" t="s">
        <v>447</v>
      </c>
      <c r="C64" s="15">
        <v>21</v>
      </c>
      <c r="D64" s="8">
        <v>702.32</v>
      </c>
      <c r="E64" s="16">
        <f t="shared" si="0"/>
        <v>14748.720000000001</v>
      </c>
      <c r="F64" s="8" t="s">
        <v>692</v>
      </c>
      <c r="G64" s="8"/>
      <c r="H64" s="8" t="s">
        <v>682</v>
      </c>
    </row>
    <row r="65" spans="1:8" ht="15" x14ac:dyDescent="0.25">
      <c r="A65" s="14" t="s">
        <v>77</v>
      </c>
      <c r="B65" s="140" t="s">
        <v>448</v>
      </c>
      <c r="C65" s="15"/>
      <c r="D65" s="8"/>
      <c r="E65" s="16">
        <f t="shared" si="0"/>
        <v>0</v>
      </c>
      <c r="F65" s="8"/>
      <c r="G65" s="8"/>
      <c r="H65" s="8" t="s">
        <v>682</v>
      </c>
    </row>
    <row r="66" spans="1:8" ht="15" x14ac:dyDescent="0.25">
      <c r="A66" s="14" t="s">
        <v>78</v>
      </c>
      <c r="B66" s="140" t="s">
        <v>449</v>
      </c>
      <c r="C66" s="15">
        <v>11</v>
      </c>
      <c r="D66" s="8">
        <v>901.19</v>
      </c>
      <c r="E66" s="16">
        <f t="shared" si="0"/>
        <v>9913.09</v>
      </c>
      <c r="F66" s="8" t="s">
        <v>692</v>
      </c>
      <c r="G66" s="8"/>
      <c r="H66" s="8" t="s">
        <v>682</v>
      </c>
    </row>
    <row r="67" spans="1:8" ht="15" x14ac:dyDescent="0.25">
      <c r="A67" s="14" t="s">
        <v>79</v>
      </c>
      <c r="B67" s="140" t="s">
        <v>450</v>
      </c>
      <c r="C67" s="15">
        <v>52</v>
      </c>
      <c r="D67" s="8">
        <v>1338.89</v>
      </c>
      <c r="E67" s="16">
        <f t="shared" si="0"/>
        <v>69622.28</v>
      </c>
      <c r="F67" s="8" t="s">
        <v>692</v>
      </c>
      <c r="G67" s="8"/>
      <c r="H67" s="8" t="s">
        <v>682</v>
      </c>
    </row>
    <row r="68" spans="1:8" ht="15" x14ac:dyDescent="0.25">
      <c r="A68" s="14" t="s">
        <v>80</v>
      </c>
      <c r="B68" s="140" t="s">
        <v>451</v>
      </c>
      <c r="C68" s="15">
        <v>15</v>
      </c>
      <c r="D68" s="8">
        <v>1917.16</v>
      </c>
      <c r="E68" s="16">
        <f t="shared" si="0"/>
        <v>28757.4</v>
      </c>
      <c r="F68" s="8" t="s">
        <v>694</v>
      </c>
      <c r="G68" s="8"/>
      <c r="H68" s="8" t="s">
        <v>682</v>
      </c>
    </row>
    <row r="69" spans="1:8" ht="15" x14ac:dyDescent="0.25">
      <c r="A69" s="14" t="s">
        <v>81</v>
      </c>
      <c r="B69" s="140" t="s">
        <v>452</v>
      </c>
      <c r="C69" s="15"/>
      <c r="D69" s="8"/>
      <c r="E69" s="16">
        <f t="shared" ref="E69:E124" si="1">D69*C69</f>
        <v>0</v>
      </c>
      <c r="F69" s="8"/>
      <c r="G69" s="8"/>
      <c r="H69" s="8" t="s">
        <v>682</v>
      </c>
    </row>
    <row r="70" spans="1:8" ht="15" x14ac:dyDescent="0.25">
      <c r="A70" s="14" t="s">
        <v>82</v>
      </c>
      <c r="B70" s="140" t="s">
        <v>453</v>
      </c>
      <c r="C70" s="15">
        <v>22</v>
      </c>
      <c r="D70" s="8">
        <v>3268.75</v>
      </c>
      <c r="E70" s="16">
        <f t="shared" si="1"/>
        <v>71912.5</v>
      </c>
      <c r="F70" s="8" t="s">
        <v>694</v>
      </c>
      <c r="G70" s="8"/>
      <c r="H70" s="8" t="s">
        <v>682</v>
      </c>
    </row>
    <row r="71" spans="1:8" ht="15" x14ac:dyDescent="0.25">
      <c r="A71" s="14" t="s">
        <v>83</v>
      </c>
      <c r="B71" s="140" t="s">
        <v>455</v>
      </c>
      <c r="C71" s="15">
        <v>38</v>
      </c>
      <c r="D71" s="8">
        <v>2636.53</v>
      </c>
      <c r="E71" s="16">
        <f t="shared" si="1"/>
        <v>100188.14000000001</v>
      </c>
      <c r="F71" s="8" t="s">
        <v>693</v>
      </c>
      <c r="G71" s="8">
        <v>100023</v>
      </c>
      <c r="H71" s="8" t="s">
        <v>682</v>
      </c>
    </row>
    <row r="72" spans="1:8" ht="17.399999999999999" x14ac:dyDescent="0.3">
      <c r="A72" s="82" t="s">
        <v>91</v>
      </c>
      <c r="B72" s="82"/>
      <c r="C72" s="74"/>
      <c r="D72" s="8"/>
      <c r="E72" s="16">
        <f t="shared" si="1"/>
        <v>0</v>
      </c>
      <c r="F72" s="8"/>
      <c r="G72" s="8"/>
      <c r="H72" s="8"/>
    </row>
    <row r="73" spans="1:8" ht="15" x14ac:dyDescent="0.25">
      <c r="A73" s="14" t="s">
        <v>93</v>
      </c>
      <c r="B73" s="140" t="s">
        <v>457</v>
      </c>
      <c r="C73" s="15">
        <v>3</v>
      </c>
      <c r="D73" s="8">
        <v>822.27</v>
      </c>
      <c r="E73" s="16">
        <f t="shared" si="1"/>
        <v>2466.81</v>
      </c>
      <c r="F73" s="8" t="s">
        <v>692</v>
      </c>
      <c r="G73" s="8"/>
      <c r="H73" s="8" t="s">
        <v>683</v>
      </c>
    </row>
    <row r="74" spans="1:8" ht="15" x14ac:dyDescent="0.25">
      <c r="A74" s="14" t="s">
        <v>94</v>
      </c>
      <c r="B74" s="140" t="s">
        <v>458</v>
      </c>
      <c r="C74" s="15">
        <v>10</v>
      </c>
      <c r="D74" s="8">
        <v>527.92999999999995</v>
      </c>
      <c r="E74" s="16">
        <f t="shared" si="1"/>
        <v>5279.2999999999993</v>
      </c>
      <c r="F74" s="8" t="s">
        <v>692</v>
      </c>
      <c r="G74" s="8"/>
      <c r="H74" s="8" t="s">
        <v>683</v>
      </c>
    </row>
    <row r="75" spans="1:8" ht="15" x14ac:dyDescent="0.25">
      <c r="A75" s="14" t="s">
        <v>3</v>
      </c>
      <c r="B75" s="140" t="s">
        <v>459</v>
      </c>
      <c r="C75" s="15">
        <v>4</v>
      </c>
      <c r="D75" s="8">
        <v>686.24</v>
      </c>
      <c r="E75" s="16">
        <f t="shared" si="1"/>
        <v>2744.96</v>
      </c>
      <c r="F75" s="8" t="s">
        <v>692</v>
      </c>
      <c r="G75" s="8"/>
      <c r="H75" s="8" t="s">
        <v>683</v>
      </c>
    </row>
    <row r="76" spans="1:8" ht="15" x14ac:dyDescent="0.25">
      <c r="A76" s="14" t="s">
        <v>9</v>
      </c>
      <c r="B76" s="140" t="s">
        <v>460</v>
      </c>
      <c r="C76" s="15">
        <v>9</v>
      </c>
      <c r="D76" s="8">
        <v>868.67</v>
      </c>
      <c r="E76" s="16">
        <f t="shared" si="1"/>
        <v>7818.03</v>
      </c>
      <c r="F76" s="8" t="s">
        <v>692</v>
      </c>
      <c r="G76" s="8"/>
      <c r="H76" s="8" t="s">
        <v>683</v>
      </c>
    </row>
    <row r="77" spans="1:8" ht="15" x14ac:dyDescent="0.25">
      <c r="A77" s="14" t="s">
        <v>456</v>
      </c>
      <c r="B77" s="140" t="s">
        <v>461</v>
      </c>
      <c r="C77" s="15">
        <v>4</v>
      </c>
      <c r="D77" s="8">
        <v>1236.42</v>
      </c>
      <c r="E77" s="16">
        <f t="shared" si="1"/>
        <v>4945.68</v>
      </c>
      <c r="F77" s="8" t="s">
        <v>692</v>
      </c>
      <c r="G77" s="8"/>
      <c r="H77" s="8" t="s">
        <v>683</v>
      </c>
    </row>
    <row r="78" spans="1:8" ht="15" x14ac:dyDescent="0.25">
      <c r="A78" s="14" t="s">
        <v>15</v>
      </c>
      <c r="B78" s="140" t="s">
        <v>462</v>
      </c>
      <c r="C78" s="15"/>
      <c r="D78" s="8"/>
      <c r="E78" s="16">
        <f t="shared" si="1"/>
        <v>0</v>
      </c>
      <c r="F78" s="8" t="s">
        <v>692</v>
      </c>
      <c r="G78" s="8"/>
      <c r="H78" s="8" t="s">
        <v>683</v>
      </c>
    </row>
    <row r="79" spans="1:8" ht="15" x14ac:dyDescent="0.25">
      <c r="A79" s="14" t="s">
        <v>18</v>
      </c>
      <c r="B79" s="140" t="s">
        <v>463</v>
      </c>
      <c r="C79" s="15">
        <v>3</v>
      </c>
      <c r="D79" s="8">
        <v>2054.4499999999998</v>
      </c>
      <c r="E79" s="16">
        <f t="shared" si="1"/>
        <v>6163.3499999999995</v>
      </c>
      <c r="F79" s="8" t="s">
        <v>692</v>
      </c>
      <c r="G79" s="8"/>
      <c r="H79" s="8" t="s">
        <v>683</v>
      </c>
    </row>
    <row r="80" spans="1:8" ht="15" x14ac:dyDescent="0.25">
      <c r="A80" s="14" t="s">
        <v>1</v>
      </c>
      <c r="B80" s="140" t="s">
        <v>464</v>
      </c>
      <c r="C80" s="15">
        <v>2</v>
      </c>
      <c r="D80" s="8">
        <v>1926.67</v>
      </c>
      <c r="E80" s="16">
        <f t="shared" si="1"/>
        <v>3853.34</v>
      </c>
      <c r="F80" s="8" t="s">
        <v>692</v>
      </c>
      <c r="G80" s="8"/>
      <c r="H80" s="8" t="s">
        <v>683</v>
      </c>
    </row>
    <row r="81" spans="1:8" ht="15" x14ac:dyDescent="0.25">
      <c r="A81" s="14" t="s">
        <v>7</v>
      </c>
      <c r="B81" s="140" t="s">
        <v>465</v>
      </c>
      <c r="C81" s="15"/>
      <c r="D81" s="8"/>
      <c r="E81" s="16">
        <f t="shared" si="1"/>
        <v>0</v>
      </c>
      <c r="F81" s="8" t="s">
        <v>692</v>
      </c>
      <c r="G81" s="8"/>
      <c r="H81" s="8" t="s">
        <v>683</v>
      </c>
    </row>
    <row r="82" spans="1:8" ht="15" x14ac:dyDescent="0.25">
      <c r="A82" s="14" t="s">
        <v>2</v>
      </c>
      <c r="B82" s="140" t="s">
        <v>466</v>
      </c>
      <c r="C82" s="15"/>
      <c r="D82" s="8"/>
      <c r="E82" s="16">
        <f t="shared" si="1"/>
        <v>0</v>
      </c>
      <c r="F82" s="8" t="s">
        <v>692</v>
      </c>
      <c r="G82" s="8"/>
      <c r="H82" s="8" t="s">
        <v>683</v>
      </c>
    </row>
    <row r="83" spans="1:8" ht="15" x14ac:dyDescent="0.25">
      <c r="A83" s="14" t="s">
        <v>5</v>
      </c>
      <c r="B83" s="140" t="s">
        <v>467</v>
      </c>
      <c r="C83" s="15"/>
      <c r="D83" s="8"/>
      <c r="E83" s="16">
        <f t="shared" si="1"/>
        <v>0</v>
      </c>
      <c r="F83" s="8" t="s">
        <v>692</v>
      </c>
      <c r="G83" s="8"/>
      <c r="H83" s="8" t="s">
        <v>683</v>
      </c>
    </row>
    <row r="84" spans="1:8" ht="15" x14ac:dyDescent="0.25">
      <c r="A84" s="14" t="s">
        <v>4</v>
      </c>
      <c r="B84" s="140" t="s">
        <v>468</v>
      </c>
      <c r="C84" s="15">
        <v>1</v>
      </c>
      <c r="D84" s="8">
        <v>6142.27</v>
      </c>
      <c r="E84" s="16">
        <f t="shared" si="1"/>
        <v>6142.27</v>
      </c>
      <c r="F84" s="8" t="s">
        <v>692</v>
      </c>
      <c r="G84" s="8"/>
      <c r="H84" s="8" t="s">
        <v>683</v>
      </c>
    </row>
    <row r="85" spans="1:8" ht="15" x14ac:dyDescent="0.25">
      <c r="A85" s="14" t="s">
        <v>95</v>
      </c>
      <c r="B85" s="140" t="s">
        <v>469</v>
      </c>
      <c r="C85" s="15">
        <v>1</v>
      </c>
      <c r="D85" s="8">
        <v>4394.79</v>
      </c>
      <c r="E85" s="16">
        <f t="shared" si="1"/>
        <v>4394.79</v>
      </c>
      <c r="F85" s="8" t="s">
        <v>692</v>
      </c>
      <c r="G85" s="8"/>
      <c r="H85" s="8" t="s">
        <v>683</v>
      </c>
    </row>
    <row r="86" spans="1:8" ht="15" x14ac:dyDescent="0.25">
      <c r="A86" s="14" t="s">
        <v>96</v>
      </c>
      <c r="B86" s="140" t="s">
        <v>470</v>
      </c>
      <c r="C86" s="15"/>
      <c r="D86" s="8"/>
      <c r="E86" s="16">
        <f t="shared" si="1"/>
        <v>0</v>
      </c>
      <c r="F86" s="8" t="s">
        <v>692</v>
      </c>
      <c r="G86" s="8"/>
      <c r="H86" s="8" t="s">
        <v>683</v>
      </c>
    </row>
    <row r="87" spans="1:8" ht="17.399999999999999" x14ac:dyDescent="0.3">
      <c r="A87" s="82" t="s">
        <v>97</v>
      </c>
      <c r="B87" s="82"/>
      <c r="C87" s="74"/>
      <c r="D87" s="8"/>
      <c r="E87" s="16">
        <f t="shared" si="1"/>
        <v>0</v>
      </c>
      <c r="F87" s="8"/>
      <c r="G87" s="8"/>
      <c r="H87" s="8"/>
    </row>
    <row r="88" spans="1:8" ht="15" x14ac:dyDescent="0.25">
      <c r="A88" s="14" t="s">
        <v>98</v>
      </c>
      <c r="B88" s="140" t="s">
        <v>471</v>
      </c>
      <c r="C88" s="15"/>
      <c r="D88" s="8"/>
      <c r="E88" s="16">
        <f t="shared" si="1"/>
        <v>0</v>
      </c>
      <c r="F88" s="8" t="s">
        <v>692</v>
      </c>
      <c r="G88" s="8"/>
      <c r="H88" s="8" t="s">
        <v>684</v>
      </c>
    </row>
    <row r="89" spans="1:8" ht="15" x14ac:dyDescent="0.25">
      <c r="A89" s="14" t="s">
        <v>99</v>
      </c>
      <c r="B89" s="140" t="s">
        <v>472</v>
      </c>
      <c r="C89" s="15"/>
      <c r="D89" s="8"/>
      <c r="E89" s="16">
        <f t="shared" si="1"/>
        <v>0</v>
      </c>
      <c r="F89" s="8" t="s">
        <v>692</v>
      </c>
      <c r="G89" s="8"/>
      <c r="H89" s="8" t="s">
        <v>684</v>
      </c>
    </row>
    <row r="90" spans="1:8" ht="15" x14ac:dyDescent="0.25">
      <c r="A90" s="14" t="s">
        <v>100</v>
      </c>
      <c r="B90" s="140" t="s">
        <v>473</v>
      </c>
      <c r="C90" s="15"/>
      <c r="D90" s="8"/>
      <c r="E90" s="16">
        <f t="shared" si="1"/>
        <v>0</v>
      </c>
      <c r="F90" s="8" t="s">
        <v>692</v>
      </c>
      <c r="G90" s="8"/>
      <c r="H90" s="8" t="s">
        <v>684</v>
      </c>
    </row>
    <row r="91" spans="1:8" ht="15" x14ac:dyDescent="0.25">
      <c r="A91" s="14" t="s">
        <v>101</v>
      </c>
      <c r="B91" s="140" t="s">
        <v>474</v>
      </c>
      <c r="C91" s="15">
        <v>1</v>
      </c>
      <c r="D91" s="8">
        <v>4000</v>
      </c>
      <c r="E91" s="16">
        <f t="shared" si="1"/>
        <v>4000</v>
      </c>
      <c r="F91" s="8" t="s">
        <v>692</v>
      </c>
      <c r="G91" s="8"/>
      <c r="H91" s="8" t="s">
        <v>684</v>
      </c>
    </row>
    <row r="92" spans="1:8" ht="15" x14ac:dyDescent="0.25">
      <c r="A92" s="14" t="s">
        <v>102</v>
      </c>
      <c r="B92" s="140" t="s">
        <v>475</v>
      </c>
      <c r="C92" s="15"/>
      <c r="D92" s="8"/>
      <c r="E92" s="16">
        <f t="shared" si="1"/>
        <v>0</v>
      </c>
      <c r="F92" s="8" t="s">
        <v>692</v>
      </c>
      <c r="G92" s="8"/>
      <c r="H92" s="8" t="s">
        <v>684</v>
      </c>
    </row>
    <row r="93" spans="1:8" ht="15" x14ac:dyDescent="0.25">
      <c r="A93" s="14" t="s">
        <v>103</v>
      </c>
      <c r="B93" s="140" t="s">
        <v>476</v>
      </c>
      <c r="C93" s="15">
        <v>1</v>
      </c>
      <c r="D93" s="8"/>
      <c r="E93" s="16">
        <f t="shared" si="1"/>
        <v>0</v>
      </c>
      <c r="F93" s="8" t="s">
        <v>692</v>
      </c>
      <c r="G93" s="8"/>
      <c r="H93" s="8" t="s">
        <v>684</v>
      </c>
    </row>
    <row r="94" spans="1:8" ht="17.399999999999999" x14ac:dyDescent="0.3">
      <c r="A94" s="82" t="s">
        <v>104</v>
      </c>
      <c r="B94" s="82"/>
      <c r="C94" s="75"/>
      <c r="D94" s="8"/>
      <c r="E94" s="16">
        <f t="shared" si="1"/>
        <v>0</v>
      </c>
      <c r="F94" s="8"/>
      <c r="G94" s="8"/>
      <c r="H94" s="8"/>
    </row>
    <row r="95" spans="1:8" ht="15" x14ac:dyDescent="0.25">
      <c r="A95" s="14" t="s">
        <v>105</v>
      </c>
      <c r="B95" s="140" t="s">
        <v>477</v>
      </c>
      <c r="C95" s="15"/>
      <c r="D95" s="8"/>
      <c r="E95" s="16">
        <f t="shared" si="1"/>
        <v>0</v>
      </c>
      <c r="F95" s="8" t="s">
        <v>695</v>
      </c>
      <c r="G95" s="8"/>
      <c r="H95" s="8" t="s">
        <v>685</v>
      </c>
    </row>
    <row r="96" spans="1:8" ht="15" x14ac:dyDescent="0.25">
      <c r="A96" s="14" t="s">
        <v>106</v>
      </c>
      <c r="B96" s="140" t="s">
        <v>478</v>
      </c>
      <c r="C96" s="15"/>
      <c r="D96" s="8">
        <v>340</v>
      </c>
      <c r="E96" s="16">
        <f t="shared" si="1"/>
        <v>0</v>
      </c>
      <c r="F96" s="8" t="s">
        <v>695</v>
      </c>
      <c r="G96" s="8">
        <v>1019003</v>
      </c>
      <c r="H96" s="8" t="s">
        <v>685</v>
      </c>
    </row>
    <row r="97" spans="1:8" ht="15" x14ac:dyDescent="0.25">
      <c r="A97" s="14" t="s">
        <v>107</v>
      </c>
      <c r="B97" s="140" t="s">
        <v>479</v>
      </c>
      <c r="C97" s="15">
        <v>21</v>
      </c>
      <c r="D97" s="8">
        <v>480</v>
      </c>
      <c r="E97" s="16">
        <f t="shared" si="1"/>
        <v>10080</v>
      </c>
      <c r="F97" s="8" t="s">
        <v>695</v>
      </c>
      <c r="G97" s="8">
        <v>1019002</v>
      </c>
      <c r="H97" s="8" t="s">
        <v>685</v>
      </c>
    </row>
    <row r="98" spans="1:8" ht="15" x14ac:dyDescent="0.25">
      <c r="A98" s="14" t="s">
        <v>108</v>
      </c>
      <c r="B98" s="140" t="s">
        <v>480</v>
      </c>
      <c r="C98" s="15"/>
      <c r="D98" s="8">
        <v>580</v>
      </c>
      <c r="E98" s="16">
        <f t="shared" si="1"/>
        <v>0</v>
      </c>
      <c r="F98" s="8" t="s">
        <v>695</v>
      </c>
      <c r="G98" s="8">
        <v>1019001</v>
      </c>
      <c r="H98" s="8" t="s">
        <v>685</v>
      </c>
    </row>
    <row r="99" spans="1:8" ht="15" x14ac:dyDescent="0.25">
      <c r="A99" s="14" t="s">
        <v>109</v>
      </c>
      <c r="B99" s="140" t="s">
        <v>481</v>
      </c>
      <c r="C99" s="15"/>
      <c r="D99" s="8">
        <v>750</v>
      </c>
      <c r="E99" s="16">
        <f t="shared" si="1"/>
        <v>0</v>
      </c>
      <c r="F99" s="8" t="s">
        <v>695</v>
      </c>
      <c r="G99" s="8">
        <v>1025063</v>
      </c>
      <c r="H99" s="8" t="s">
        <v>685</v>
      </c>
    </row>
    <row r="100" spans="1:8" ht="17.399999999999999" x14ac:dyDescent="0.3">
      <c r="A100" s="82" t="s">
        <v>110</v>
      </c>
      <c r="B100" s="82"/>
      <c r="C100" s="74"/>
      <c r="D100" s="8"/>
      <c r="E100" s="16">
        <f t="shared" si="1"/>
        <v>0</v>
      </c>
      <c r="F100" s="8"/>
      <c r="G100" s="8"/>
      <c r="H100" s="8"/>
    </row>
    <row r="101" spans="1:8" ht="15" x14ac:dyDescent="0.25">
      <c r="A101" s="14" t="s">
        <v>111</v>
      </c>
      <c r="B101" s="140" t="s">
        <v>482</v>
      </c>
      <c r="C101" s="15">
        <v>100</v>
      </c>
      <c r="D101" s="8">
        <v>1545.26</v>
      </c>
      <c r="E101" s="16">
        <f t="shared" si="1"/>
        <v>154526</v>
      </c>
      <c r="F101" s="8" t="s">
        <v>692</v>
      </c>
      <c r="G101" s="8"/>
      <c r="H101" s="8" t="s">
        <v>685</v>
      </c>
    </row>
    <row r="102" spans="1:8" ht="15" x14ac:dyDescent="0.25">
      <c r="A102" s="14" t="s">
        <v>112</v>
      </c>
      <c r="B102" s="140" t="s">
        <v>483</v>
      </c>
      <c r="C102" s="15">
        <v>200</v>
      </c>
      <c r="D102" s="8">
        <v>1783.4</v>
      </c>
      <c r="E102" s="16">
        <f t="shared" si="1"/>
        <v>356680</v>
      </c>
      <c r="F102" s="8" t="s">
        <v>692</v>
      </c>
      <c r="G102" s="8"/>
      <c r="H102" s="8" t="s">
        <v>685</v>
      </c>
    </row>
    <row r="103" spans="1:8" ht="15" x14ac:dyDescent="0.25">
      <c r="A103" s="14" t="s">
        <v>113</v>
      </c>
      <c r="B103" s="140" t="s">
        <v>484</v>
      </c>
      <c r="C103" s="15">
        <v>400</v>
      </c>
      <c r="D103" s="8">
        <v>2213.38</v>
      </c>
      <c r="E103" s="16">
        <f t="shared" si="1"/>
        <v>885352</v>
      </c>
      <c r="F103" s="8" t="s">
        <v>692</v>
      </c>
      <c r="G103" s="8"/>
      <c r="H103" s="8" t="s">
        <v>685</v>
      </c>
    </row>
    <row r="104" spans="1:8" ht="15" x14ac:dyDescent="0.25">
      <c r="A104" s="14" t="s">
        <v>114</v>
      </c>
      <c r="B104" s="140" t="s">
        <v>485</v>
      </c>
      <c r="C104" s="15">
        <v>400</v>
      </c>
      <c r="D104" s="8">
        <v>2828.7</v>
      </c>
      <c r="E104" s="16">
        <f t="shared" si="1"/>
        <v>1131480</v>
      </c>
      <c r="F104" s="8" t="s">
        <v>692</v>
      </c>
      <c r="G104" s="8"/>
      <c r="H104" s="8" t="s">
        <v>685</v>
      </c>
    </row>
    <row r="105" spans="1:8" ht="15" x14ac:dyDescent="0.25">
      <c r="A105" s="14" t="s">
        <v>115</v>
      </c>
      <c r="B105" s="140" t="s">
        <v>486</v>
      </c>
      <c r="C105" s="15">
        <v>300</v>
      </c>
      <c r="D105" s="8">
        <v>3471.3</v>
      </c>
      <c r="E105" s="16">
        <f t="shared" si="1"/>
        <v>1041390</v>
      </c>
      <c r="F105" s="8" t="s">
        <v>692</v>
      </c>
      <c r="G105" s="8"/>
      <c r="H105" s="8" t="s">
        <v>685</v>
      </c>
    </row>
    <row r="106" spans="1:8" ht="15" x14ac:dyDescent="0.25">
      <c r="A106" s="14" t="s">
        <v>240</v>
      </c>
      <c r="B106" s="140" t="s">
        <v>487</v>
      </c>
      <c r="C106" s="15"/>
      <c r="D106" s="8"/>
      <c r="E106" s="16">
        <f t="shared" si="1"/>
        <v>0</v>
      </c>
      <c r="F106" s="8" t="s">
        <v>692</v>
      </c>
      <c r="G106" s="8"/>
      <c r="H106" s="8" t="s">
        <v>685</v>
      </c>
    </row>
    <row r="107" spans="1:8" ht="17.399999999999999" x14ac:dyDescent="0.3">
      <c r="A107" s="82" t="s">
        <v>116</v>
      </c>
      <c r="B107" s="82"/>
      <c r="C107" s="74"/>
      <c r="D107" s="8"/>
      <c r="E107" s="16">
        <f t="shared" si="1"/>
        <v>0</v>
      </c>
      <c r="F107" s="8"/>
      <c r="G107" s="8"/>
      <c r="H107" s="8"/>
    </row>
    <row r="108" spans="1:8" ht="15" x14ac:dyDescent="0.25">
      <c r="A108" s="14" t="s">
        <v>117</v>
      </c>
      <c r="B108" s="140" t="s">
        <v>488</v>
      </c>
      <c r="C108" s="15"/>
      <c r="D108" s="8"/>
      <c r="E108" s="16">
        <f t="shared" si="1"/>
        <v>0</v>
      </c>
      <c r="F108" s="8" t="s">
        <v>692</v>
      </c>
      <c r="G108" s="8"/>
      <c r="H108" s="8" t="s">
        <v>686</v>
      </c>
    </row>
    <row r="109" spans="1:8" ht="15" x14ac:dyDescent="0.25">
      <c r="A109" s="14" t="s">
        <v>118</v>
      </c>
      <c r="B109" s="140" t="s">
        <v>489</v>
      </c>
      <c r="C109" s="15"/>
      <c r="D109" s="8"/>
      <c r="E109" s="16">
        <f t="shared" si="1"/>
        <v>0</v>
      </c>
      <c r="F109" s="8" t="s">
        <v>692</v>
      </c>
      <c r="G109" s="8"/>
      <c r="H109" s="8" t="s">
        <v>686</v>
      </c>
    </row>
    <row r="110" spans="1:8" ht="15" x14ac:dyDescent="0.25">
      <c r="A110" s="14" t="s">
        <v>119</v>
      </c>
      <c r="B110" s="140" t="s">
        <v>490</v>
      </c>
      <c r="C110" s="15"/>
      <c r="D110" s="8"/>
      <c r="E110" s="16">
        <f t="shared" si="1"/>
        <v>0</v>
      </c>
      <c r="F110" s="8" t="s">
        <v>692</v>
      </c>
      <c r="G110" s="8"/>
      <c r="H110" s="8" t="s">
        <v>686</v>
      </c>
    </row>
    <row r="111" spans="1:8" ht="15" x14ac:dyDescent="0.25">
      <c r="A111" s="14" t="s">
        <v>120</v>
      </c>
      <c r="B111" s="140" t="s">
        <v>491</v>
      </c>
      <c r="C111" s="15">
        <v>2</v>
      </c>
      <c r="D111" s="8">
        <v>8728.76</v>
      </c>
      <c r="E111" s="16">
        <f t="shared" si="1"/>
        <v>17457.52</v>
      </c>
      <c r="F111" s="8" t="s">
        <v>692</v>
      </c>
      <c r="G111" s="8"/>
      <c r="H111" s="8" t="s">
        <v>686</v>
      </c>
    </row>
    <row r="112" spans="1:8" ht="17.399999999999999" x14ac:dyDescent="0.3">
      <c r="A112" s="84" t="s">
        <v>121</v>
      </c>
      <c r="B112" s="84"/>
      <c r="C112" s="74"/>
      <c r="D112" s="8"/>
      <c r="E112" s="16">
        <f t="shared" si="1"/>
        <v>0</v>
      </c>
      <c r="F112" s="8"/>
      <c r="G112" s="8"/>
      <c r="H112" s="8"/>
    </row>
    <row r="113" spans="1:8" ht="15" x14ac:dyDescent="0.25">
      <c r="A113" s="20" t="s">
        <v>118</v>
      </c>
      <c r="B113" s="140" t="s">
        <v>492</v>
      </c>
      <c r="C113" s="15"/>
      <c r="D113" s="8"/>
      <c r="E113" s="16">
        <f t="shared" si="1"/>
        <v>0</v>
      </c>
      <c r="F113" s="8" t="s">
        <v>692</v>
      </c>
      <c r="G113" s="8"/>
      <c r="H113" s="8" t="s">
        <v>686</v>
      </c>
    </row>
    <row r="114" spans="1:8" ht="15" x14ac:dyDescent="0.25">
      <c r="A114" s="14" t="s">
        <v>119</v>
      </c>
      <c r="B114" s="140" t="s">
        <v>493</v>
      </c>
      <c r="C114" s="15"/>
      <c r="D114" s="8"/>
      <c r="E114" s="16">
        <f t="shared" si="1"/>
        <v>0</v>
      </c>
      <c r="F114" s="8" t="s">
        <v>692</v>
      </c>
      <c r="G114" s="8"/>
      <c r="H114" s="8" t="s">
        <v>686</v>
      </c>
    </row>
    <row r="115" spans="1:8" ht="15" x14ac:dyDescent="0.25">
      <c r="A115" s="14" t="s">
        <v>120</v>
      </c>
      <c r="B115" s="140" t="s">
        <v>494</v>
      </c>
      <c r="C115" s="15">
        <v>4</v>
      </c>
      <c r="D115" s="8">
        <v>192.57</v>
      </c>
      <c r="E115" s="16">
        <f t="shared" si="1"/>
        <v>770.28</v>
      </c>
      <c r="F115" s="8" t="s">
        <v>692</v>
      </c>
      <c r="G115" s="8"/>
      <c r="H115" s="8" t="s">
        <v>686</v>
      </c>
    </row>
    <row r="116" spans="1:8" ht="15" x14ac:dyDescent="0.25">
      <c r="A116" s="14" t="s">
        <v>122</v>
      </c>
      <c r="B116" s="140" t="s">
        <v>495</v>
      </c>
      <c r="C116" s="15"/>
      <c r="D116" s="8"/>
      <c r="E116" s="16">
        <f t="shared" si="1"/>
        <v>0</v>
      </c>
      <c r="F116" s="8" t="s">
        <v>692</v>
      </c>
      <c r="G116" s="8"/>
      <c r="H116" s="8" t="s">
        <v>686</v>
      </c>
    </row>
    <row r="117" spans="1:8" ht="15" x14ac:dyDescent="0.25">
      <c r="A117" s="14" t="s">
        <v>123</v>
      </c>
      <c r="B117" s="140" t="s">
        <v>496</v>
      </c>
      <c r="C117" s="15">
        <v>9</v>
      </c>
      <c r="D117" s="8">
        <v>448.2</v>
      </c>
      <c r="E117" s="16">
        <f t="shared" si="1"/>
        <v>4033.7999999999997</v>
      </c>
      <c r="F117" s="8" t="s">
        <v>692</v>
      </c>
      <c r="G117" s="8"/>
      <c r="H117" s="8" t="s">
        <v>686</v>
      </c>
    </row>
    <row r="118" spans="1:8" ht="17.399999999999999" x14ac:dyDescent="0.3">
      <c r="A118" s="82" t="s">
        <v>124</v>
      </c>
      <c r="B118" s="82"/>
      <c r="C118" s="74"/>
      <c r="D118" s="8"/>
      <c r="E118" s="16">
        <f t="shared" si="1"/>
        <v>0</v>
      </c>
      <c r="F118" s="8"/>
      <c r="G118" s="8"/>
      <c r="H118" s="8"/>
    </row>
    <row r="119" spans="1:8" ht="15" x14ac:dyDescent="0.25">
      <c r="A119" s="14" t="s">
        <v>125</v>
      </c>
      <c r="B119" s="140" t="s">
        <v>497</v>
      </c>
      <c r="C119" s="15">
        <v>4</v>
      </c>
      <c r="D119" s="8">
        <v>11964.66</v>
      </c>
      <c r="E119" s="16">
        <f t="shared" si="1"/>
        <v>47858.64</v>
      </c>
      <c r="F119" s="8" t="s">
        <v>692</v>
      </c>
      <c r="G119" s="8"/>
      <c r="H119" s="8" t="s">
        <v>686</v>
      </c>
    </row>
    <row r="120" spans="1:8" ht="15" x14ac:dyDescent="0.25">
      <c r="A120" s="14" t="s">
        <v>126</v>
      </c>
      <c r="B120" s="140" t="s">
        <v>498</v>
      </c>
      <c r="C120" s="15">
        <v>2</v>
      </c>
      <c r="D120" s="8"/>
      <c r="E120" s="16">
        <f t="shared" si="1"/>
        <v>0</v>
      </c>
      <c r="F120" s="8" t="s">
        <v>692</v>
      </c>
      <c r="G120" s="8"/>
      <c r="H120" s="8" t="s">
        <v>686</v>
      </c>
    </row>
    <row r="121" spans="1:8" ht="15" x14ac:dyDescent="0.25">
      <c r="A121" s="14" t="s">
        <v>127</v>
      </c>
      <c r="B121" s="140" t="s">
        <v>499</v>
      </c>
      <c r="C121" s="15">
        <v>1</v>
      </c>
      <c r="D121" s="8">
        <v>25871</v>
      </c>
      <c r="E121" s="16">
        <f t="shared" si="1"/>
        <v>25871</v>
      </c>
      <c r="F121" s="8" t="s">
        <v>692</v>
      </c>
      <c r="G121" s="8"/>
      <c r="H121" s="8" t="s">
        <v>686</v>
      </c>
    </row>
    <row r="122" spans="1:8" ht="15" x14ac:dyDescent="0.25">
      <c r="A122" s="14" t="s">
        <v>128</v>
      </c>
      <c r="B122" s="140" t="s">
        <v>500</v>
      </c>
      <c r="C122" s="15">
        <v>3</v>
      </c>
      <c r="D122" s="8">
        <v>8119.77</v>
      </c>
      <c r="E122" s="16">
        <f t="shared" si="1"/>
        <v>24359.31</v>
      </c>
      <c r="F122" s="8" t="s">
        <v>692</v>
      </c>
      <c r="G122" s="8"/>
      <c r="H122" s="8" t="s">
        <v>686</v>
      </c>
    </row>
    <row r="123" spans="1:8" ht="15" x14ac:dyDescent="0.25">
      <c r="A123" s="14" t="s">
        <v>504</v>
      </c>
      <c r="B123" s="140" t="s">
        <v>501</v>
      </c>
      <c r="C123" s="15">
        <v>6</v>
      </c>
      <c r="D123" s="8">
        <v>1047.8800000000001</v>
      </c>
      <c r="E123" s="16">
        <f t="shared" si="1"/>
        <v>6287.2800000000007</v>
      </c>
      <c r="F123" s="8" t="s">
        <v>692</v>
      </c>
      <c r="G123" s="8"/>
      <c r="H123" s="8" t="s">
        <v>686</v>
      </c>
    </row>
    <row r="124" spans="1:8" ht="15" x14ac:dyDescent="0.25">
      <c r="A124" s="14" t="s">
        <v>129</v>
      </c>
      <c r="B124" s="140" t="s">
        <v>502</v>
      </c>
      <c r="C124" s="15"/>
      <c r="D124" s="8"/>
      <c r="E124" s="16">
        <f t="shared" si="1"/>
        <v>0</v>
      </c>
      <c r="F124" s="8" t="s">
        <v>692</v>
      </c>
      <c r="G124" s="8"/>
      <c r="H124" s="8" t="s">
        <v>686</v>
      </c>
    </row>
    <row r="125" spans="1:8" ht="15" x14ac:dyDescent="0.25">
      <c r="A125" s="14" t="s">
        <v>130</v>
      </c>
      <c r="B125" s="140" t="s">
        <v>503</v>
      </c>
      <c r="C125" s="15">
        <v>1</v>
      </c>
      <c r="D125" s="8">
        <v>9151.3799999999992</v>
      </c>
      <c r="E125" s="16">
        <f t="shared" ref="E125:E188" si="2">D125*C125</f>
        <v>9151.3799999999992</v>
      </c>
      <c r="F125" s="8" t="s">
        <v>692</v>
      </c>
      <c r="G125" s="8"/>
      <c r="H125" s="8" t="s">
        <v>686</v>
      </c>
    </row>
    <row r="126" spans="1:8" ht="15" x14ac:dyDescent="0.25">
      <c r="A126" s="14" t="s">
        <v>131</v>
      </c>
      <c r="B126" s="140" t="s">
        <v>505</v>
      </c>
      <c r="C126" s="15">
        <v>3</v>
      </c>
      <c r="D126" s="8">
        <v>1716.34</v>
      </c>
      <c r="E126" s="16">
        <f t="shared" si="2"/>
        <v>5149.0199999999995</v>
      </c>
      <c r="F126" s="8" t="s">
        <v>692</v>
      </c>
      <c r="G126" s="8"/>
      <c r="H126" s="8" t="s">
        <v>686</v>
      </c>
    </row>
    <row r="127" spans="1:8" ht="17.399999999999999" x14ac:dyDescent="0.3">
      <c r="A127" s="108" t="s">
        <v>132</v>
      </c>
      <c r="B127" s="108"/>
      <c r="C127" s="85"/>
      <c r="D127" s="8"/>
      <c r="E127" s="16">
        <f t="shared" si="2"/>
        <v>0</v>
      </c>
      <c r="F127" s="8"/>
      <c r="G127" s="8"/>
      <c r="H127" s="8"/>
    </row>
    <row r="128" spans="1:8" ht="17.399999999999999" x14ac:dyDescent="0.3">
      <c r="A128" s="114" t="s">
        <v>246</v>
      </c>
      <c r="B128" s="140" t="s">
        <v>506</v>
      </c>
      <c r="C128" s="105">
        <v>1</v>
      </c>
      <c r="D128" s="8">
        <v>5132.54</v>
      </c>
      <c r="E128" s="16">
        <f t="shared" si="2"/>
        <v>5132.54</v>
      </c>
      <c r="F128" s="8" t="s">
        <v>693</v>
      </c>
      <c r="G128" s="8">
        <v>100613</v>
      </c>
      <c r="H128" s="8" t="s">
        <v>686</v>
      </c>
    </row>
    <row r="129" spans="1:8" ht="15" x14ac:dyDescent="0.25">
      <c r="A129" s="14" t="s">
        <v>133</v>
      </c>
      <c r="B129" s="140" t="s">
        <v>507</v>
      </c>
      <c r="C129" s="15">
        <v>12</v>
      </c>
      <c r="D129" s="8">
        <v>730</v>
      </c>
      <c r="E129" s="16">
        <f t="shared" si="2"/>
        <v>8760</v>
      </c>
      <c r="F129" s="8" t="s">
        <v>696</v>
      </c>
      <c r="G129" s="8" t="s">
        <v>703</v>
      </c>
      <c r="H129" s="8" t="s">
        <v>686</v>
      </c>
    </row>
    <row r="130" spans="1:8" ht="15" x14ac:dyDescent="0.25">
      <c r="A130" s="14" t="s">
        <v>134</v>
      </c>
      <c r="B130" s="140" t="s">
        <v>508</v>
      </c>
      <c r="C130" s="15">
        <v>14</v>
      </c>
      <c r="D130" s="8">
        <v>1007.12</v>
      </c>
      <c r="E130" s="16">
        <f t="shared" si="2"/>
        <v>14099.68</v>
      </c>
      <c r="F130" s="8" t="s">
        <v>696</v>
      </c>
      <c r="G130" s="8" t="s">
        <v>704</v>
      </c>
      <c r="H130" s="8" t="s">
        <v>686</v>
      </c>
    </row>
    <row r="131" spans="1:8" ht="15" x14ac:dyDescent="0.25">
      <c r="A131" s="14" t="s">
        <v>135</v>
      </c>
      <c r="B131" s="140" t="s">
        <v>509</v>
      </c>
      <c r="C131" s="15">
        <v>14</v>
      </c>
      <c r="D131" s="8">
        <v>1259.6199999999999</v>
      </c>
      <c r="E131" s="16">
        <f t="shared" si="2"/>
        <v>17634.68</v>
      </c>
      <c r="F131" s="8" t="s">
        <v>696</v>
      </c>
      <c r="G131" s="8" t="s">
        <v>705</v>
      </c>
      <c r="H131" s="8" t="s">
        <v>686</v>
      </c>
    </row>
    <row r="132" spans="1:8" ht="15" x14ac:dyDescent="0.25">
      <c r="A132" s="14" t="s">
        <v>136</v>
      </c>
      <c r="B132" s="140" t="s">
        <v>510</v>
      </c>
      <c r="C132" s="15">
        <v>15</v>
      </c>
      <c r="D132" s="8">
        <v>1587.62</v>
      </c>
      <c r="E132" s="16">
        <f t="shared" si="2"/>
        <v>23814.3</v>
      </c>
      <c r="F132" s="8" t="s">
        <v>696</v>
      </c>
      <c r="G132" s="8" t="s">
        <v>706</v>
      </c>
      <c r="H132" s="8" t="s">
        <v>686</v>
      </c>
    </row>
    <row r="133" spans="1:8" ht="15" x14ac:dyDescent="0.25">
      <c r="A133" s="14" t="s">
        <v>137</v>
      </c>
      <c r="B133" s="140" t="s">
        <v>511</v>
      </c>
      <c r="C133" s="15">
        <v>27</v>
      </c>
      <c r="D133" s="8">
        <v>2283.12</v>
      </c>
      <c r="E133" s="16">
        <f t="shared" si="2"/>
        <v>61644.24</v>
      </c>
      <c r="F133" s="8" t="s">
        <v>696</v>
      </c>
      <c r="G133" s="8" t="s">
        <v>707</v>
      </c>
      <c r="H133" s="8" t="s">
        <v>686</v>
      </c>
    </row>
    <row r="134" spans="1:8" ht="15" x14ac:dyDescent="0.25">
      <c r="A134" s="14" t="s">
        <v>138</v>
      </c>
      <c r="B134" s="140" t="s">
        <v>512</v>
      </c>
      <c r="C134" s="15">
        <v>4</v>
      </c>
      <c r="D134" s="8">
        <v>2580</v>
      </c>
      <c r="E134" s="16">
        <f t="shared" si="2"/>
        <v>10320</v>
      </c>
      <c r="F134" s="8" t="s">
        <v>696</v>
      </c>
      <c r="G134" s="8" t="s">
        <v>708</v>
      </c>
      <c r="H134" s="8" t="s">
        <v>686</v>
      </c>
    </row>
    <row r="135" spans="1:8" ht="17.399999999999999" x14ac:dyDescent="0.3">
      <c r="A135" s="115" t="s">
        <v>139</v>
      </c>
      <c r="B135" s="115"/>
      <c r="C135" s="74"/>
      <c r="D135" s="8"/>
      <c r="E135" s="16">
        <f t="shared" si="2"/>
        <v>0</v>
      </c>
      <c r="F135" s="8"/>
      <c r="G135" s="8"/>
      <c r="H135" s="8"/>
    </row>
    <row r="136" spans="1:8" ht="15" x14ac:dyDescent="0.25">
      <c r="A136" s="14" t="s">
        <v>140</v>
      </c>
      <c r="B136" s="140" t="s">
        <v>513</v>
      </c>
      <c r="C136" s="15">
        <v>1</v>
      </c>
      <c r="D136" s="8">
        <v>1455.3</v>
      </c>
      <c r="E136" s="16">
        <f t="shared" si="2"/>
        <v>1455.3</v>
      </c>
      <c r="F136" s="8" t="s">
        <v>692</v>
      </c>
      <c r="G136" s="8"/>
      <c r="H136" s="8" t="s">
        <v>687</v>
      </c>
    </row>
    <row r="137" spans="1:8" ht="15" x14ac:dyDescent="0.25">
      <c r="A137" s="2" t="s">
        <v>247</v>
      </c>
      <c r="B137" s="140" t="s">
        <v>514</v>
      </c>
      <c r="C137" s="15">
        <v>5</v>
      </c>
      <c r="D137" s="8"/>
      <c r="E137" s="16">
        <f t="shared" si="2"/>
        <v>0</v>
      </c>
      <c r="F137" s="8"/>
      <c r="G137" s="8"/>
      <c r="H137" s="8" t="s">
        <v>687</v>
      </c>
    </row>
    <row r="138" spans="1:8" ht="15" x14ac:dyDescent="0.25">
      <c r="A138" s="14" t="s">
        <v>239</v>
      </c>
      <c r="B138" s="140" t="s">
        <v>515</v>
      </c>
      <c r="C138" s="15">
        <v>6</v>
      </c>
      <c r="D138" s="8">
        <v>2990</v>
      </c>
      <c r="E138" s="16">
        <f t="shared" si="2"/>
        <v>17940</v>
      </c>
      <c r="F138" s="8" t="s">
        <v>692</v>
      </c>
      <c r="G138" s="8"/>
      <c r="H138" s="8" t="s">
        <v>687</v>
      </c>
    </row>
    <row r="139" spans="1:8" ht="15" x14ac:dyDescent="0.25">
      <c r="A139" s="14" t="s">
        <v>142</v>
      </c>
      <c r="B139" s="140" t="s">
        <v>516</v>
      </c>
      <c r="C139" s="15"/>
      <c r="D139" s="8"/>
      <c r="E139" s="16">
        <f t="shared" si="2"/>
        <v>0</v>
      </c>
      <c r="F139" s="8" t="s">
        <v>692</v>
      </c>
      <c r="G139" s="8"/>
      <c r="H139" s="8" t="s">
        <v>687</v>
      </c>
    </row>
    <row r="140" spans="1:8" ht="17.399999999999999" x14ac:dyDescent="0.3">
      <c r="A140" s="82" t="s">
        <v>147</v>
      </c>
      <c r="B140" s="82"/>
      <c r="C140" s="74"/>
      <c r="D140" s="8"/>
      <c r="E140" s="16">
        <f t="shared" si="2"/>
        <v>0</v>
      </c>
      <c r="F140" s="8"/>
      <c r="G140" s="8"/>
      <c r="H140" s="8"/>
    </row>
    <row r="141" spans="1:8" ht="15" x14ac:dyDescent="0.25">
      <c r="A141" s="14" t="s">
        <v>10</v>
      </c>
      <c r="B141" s="140" t="s">
        <v>517</v>
      </c>
      <c r="C141" s="15">
        <v>450</v>
      </c>
      <c r="D141" s="8">
        <v>52.71</v>
      </c>
      <c r="E141" s="16">
        <f t="shared" si="2"/>
        <v>23719.5</v>
      </c>
      <c r="F141" s="8" t="s">
        <v>692</v>
      </c>
      <c r="G141" s="8"/>
      <c r="H141" s="8" t="s">
        <v>685</v>
      </c>
    </row>
    <row r="142" spans="1:8" ht="15" x14ac:dyDescent="0.25">
      <c r="A142" s="14" t="s">
        <v>11</v>
      </c>
      <c r="B142" s="140" t="s">
        <v>518</v>
      </c>
      <c r="C142" s="15">
        <v>350</v>
      </c>
      <c r="D142" s="8">
        <v>74.739999999999995</v>
      </c>
      <c r="E142" s="16">
        <f t="shared" si="2"/>
        <v>26159</v>
      </c>
      <c r="F142" s="8" t="s">
        <v>692</v>
      </c>
      <c r="G142" s="8"/>
      <c r="H142" s="8" t="s">
        <v>685</v>
      </c>
    </row>
    <row r="143" spans="1:8" ht="15" x14ac:dyDescent="0.25">
      <c r="A143" s="14" t="s">
        <v>143</v>
      </c>
      <c r="B143" s="140" t="s">
        <v>519</v>
      </c>
      <c r="C143" s="15">
        <v>98</v>
      </c>
      <c r="D143" s="8">
        <v>52.71</v>
      </c>
      <c r="E143" s="16">
        <f t="shared" si="2"/>
        <v>5165.58</v>
      </c>
      <c r="F143" s="8" t="s">
        <v>692</v>
      </c>
      <c r="G143" s="8"/>
      <c r="H143" s="8" t="s">
        <v>685</v>
      </c>
    </row>
    <row r="144" spans="1:8" ht="15" x14ac:dyDescent="0.25">
      <c r="A144" s="14" t="s">
        <v>144</v>
      </c>
      <c r="B144" s="140" t="s">
        <v>520</v>
      </c>
      <c r="C144" s="15">
        <v>150</v>
      </c>
      <c r="D144" s="8">
        <v>37.68</v>
      </c>
      <c r="E144" s="16">
        <f t="shared" si="2"/>
        <v>5652</v>
      </c>
      <c r="F144" s="8" t="s">
        <v>692</v>
      </c>
      <c r="G144" s="8"/>
      <c r="H144" s="8" t="s">
        <v>685</v>
      </c>
    </row>
    <row r="145" spans="1:8" ht="15" x14ac:dyDescent="0.25">
      <c r="A145" s="21" t="s">
        <v>145</v>
      </c>
      <c r="B145" s="140" t="s">
        <v>521</v>
      </c>
      <c r="C145" s="22"/>
      <c r="D145" s="8"/>
      <c r="E145" s="16">
        <f t="shared" si="2"/>
        <v>0</v>
      </c>
      <c r="F145" s="8" t="s">
        <v>692</v>
      </c>
      <c r="G145" s="8"/>
      <c r="H145" s="8" t="s">
        <v>685</v>
      </c>
    </row>
    <row r="146" spans="1:8" ht="15" x14ac:dyDescent="0.25">
      <c r="A146" s="21" t="s">
        <v>243</v>
      </c>
      <c r="B146" s="140" t="s">
        <v>522</v>
      </c>
      <c r="C146" s="22"/>
      <c r="D146" s="8"/>
      <c r="E146" s="16">
        <f t="shared" si="2"/>
        <v>0</v>
      </c>
      <c r="F146" s="8" t="s">
        <v>692</v>
      </c>
      <c r="G146" s="8"/>
      <c r="H146" s="8" t="s">
        <v>685</v>
      </c>
    </row>
    <row r="147" spans="1:8" ht="15" x14ac:dyDescent="0.25">
      <c r="A147" s="14" t="s">
        <v>146</v>
      </c>
      <c r="B147" s="140" t="s">
        <v>523</v>
      </c>
      <c r="C147" s="15">
        <v>70</v>
      </c>
      <c r="D147" s="8">
        <v>155.88</v>
      </c>
      <c r="E147" s="16">
        <f t="shared" si="2"/>
        <v>10911.6</v>
      </c>
      <c r="F147" s="8" t="s">
        <v>692</v>
      </c>
      <c r="G147" s="8"/>
      <c r="H147" s="8" t="s">
        <v>685</v>
      </c>
    </row>
    <row r="148" spans="1:8" ht="17.399999999999999" x14ac:dyDescent="0.3">
      <c r="A148" s="82" t="s">
        <v>148</v>
      </c>
      <c r="B148" s="82"/>
      <c r="C148" s="74"/>
      <c r="D148" s="8"/>
      <c r="E148" s="16">
        <f t="shared" si="2"/>
        <v>0</v>
      </c>
      <c r="F148" s="8"/>
      <c r="G148" s="8"/>
      <c r="H148" s="8"/>
    </row>
    <row r="149" spans="1:8" ht="15" x14ac:dyDescent="0.25">
      <c r="A149" s="14" t="s">
        <v>149</v>
      </c>
      <c r="B149" s="140" t="s">
        <v>524</v>
      </c>
      <c r="C149" s="15">
        <v>100</v>
      </c>
      <c r="D149" s="8">
        <v>45.92</v>
      </c>
      <c r="E149" s="16">
        <f t="shared" si="2"/>
        <v>4592</v>
      </c>
      <c r="F149" s="8" t="s">
        <v>692</v>
      </c>
      <c r="G149" s="8"/>
      <c r="H149" s="8" t="s">
        <v>685</v>
      </c>
    </row>
    <row r="150" spans="1:8" ht="15" x14ac:dyDescent="0.25">
      <c r="A150" s="14" t="s">
        <v>150</v>
      </c>
      <c r="B150" s="140" t="s">
        <v>525</v>
      </c>
      <c r="C150" s="15">
        <v>300</v>
      </c>
      <c r="D150" s="8">
        <v>51.47</v>
      </c>
      <c r="E150" s="16">
        <f t="shared" si="2"/>
        <v>15441</v>
      </c>
      <c r="F150" s="8" t="s">
        <v>692</v>
      </c>
      <c r="G150" s="8"/>
      <c r="H150" s="8" t="s">
        <v>685</v>
      </c>
    </row>
    <row r="151" spans="1:8" ht="15" x14ac:dyDescent="0.25">
      <c r="A151" s="14" t="s">
        <v>151</v>
      </c>
      <c r="B151" s="140" t="s">
        <v>526</v>
      </c>
      <c r="C151" s="15"/>
      <c r="D151" s="8"/>
      <c r="E151" s="16">
        <f t="shared" si="2"/>
        <v>0</v>
      </c>
      <c r="F151" s="8" t="s">
        <v>692</v>
      </c>
      <c r="G151" s="8"/>
      <c r="H151" s="8" t="s">
        <v>685</v>
      </c>
    </row>
    <row r="152" spans="1:8" ht="15" x14ac:dyDescent="0.25">
      <c r="A152" s="14" t="s">
        <v>152</v>
      </c>
      <c r="B152" s="140" t="s">
        <v>527</v>
      </c>
      <c r="C152" s="15">
        <v>200</v>
      </c>
      <c r="D152" s="8">
        <v>92.36</v>
      </c>
      <c r="E152" s="16">
        <f t="shared" si="2"/>
        <v>18472</v>
      </c>
      <c r="F152" s="8" t="s">
        <v>692</v>
      </c>
      <c r="G152" s="8"/>
      <c r="H152" s="8" t="s">
        <v>685</v>
      </c>
    </row>
    <row r="153" spans="1:8" ht="15" x14ac:dyDescent="0.25">
      <c r="A153" s="14" t="s">
        <v>153</v>
      </c>
      <c r="B153" s="140" t="s">
        <v>528</v>
      </c>
      <c r="C153" s="15">
        <v>200</v>
      </c>
      <c r="D153" s="8">
        <v>181.79</v>
      </c>
      <c r="E153" s="16">
        <f t="shared" si="2"/>
        <v>36358</v>
      </c>
      <c r="F153" s="8" t="s">
        <v>692</v>
      </c>
      <c r="G153" s="8"/>
      <c r="H153" s="8" t="s">
        <v>685</v>
      </c>
    </row>
    <row r="154" spans="1:8" ht="15" x14ac:dyDescent="0.25">
      <c r="A154" s="14" t="s">
        <v>154</v>
      </c>
      <c r="B154" s="140" t="s">
        <v>529</v>
      </c>
      <c r="C154" s="15">
        <v>500</v>
      </c>
      <c r="D154" s="8">
        <v>62.56</v>
      </c>
      <c r="E154" s="16">
        <f t="shared" si="2"/>
        <v>31280</v>
      </c>
      <c r="F154" s="8" t="s">
        <v>692</v>
      </c>
      <c r="G154" s="8"/>
      <c r="H154" s="8" t="s">
        <v>685</v>
      </c>
    </row>
    <row r="155" spans="1:8" ht="15" x14ac:dyDescent="0.25">
      <c r="A155" s="14" t="s">
        <v>231</v>
      </c>
      <c r="B155" s="140" t="s">
        <v>530</v>
      </c>
      <c r="C155" s="15"/>
      <c r="D155" s="8"/>
      <c r="E155" s="16">
        <f t="shared" si="2"/>
        <v>0</v>
      </c>
      <c r="F155" s="8" t="s">
        <v>692</v>
      </c>
      <c r="G155" s="8"/>
      <c r="H155" s="8" t="s">
        <v>685</v>
      </c>
    </row>
    <row r="156" spans="1:8" ht="15" x14ac:dyDescent="0.25">
      <c r="A156" s="14" t="s">
        <v>155</v>
      </c>
      <c r="B156" s="140" t="s">
        <v>531</v>
      </c>
      <c r="C156" s="15"/>
      <c r="D156" s="8"/>
      <c r="E156" s="16">
        <f t="shared" si="2"/>
        <v>0</v>
      </c>
      <c r="F156" s="8" t="s">
        <v>692</v>
      </c>
      <c r="G156" s="8"/>
      <c r="H156" s="8" t="s">
        <v>685</v>
      </c>
    </row>
    <row r="157" spans="1:8" ht="15" x14ac:dyDescent="0.25">
      <c r="A157" s="14" t="s">
        <v>156</v>
      </c>
      <c r="B157" s="140" t="s">
        <v>532</v>
      </c>
      <c r="C157" s="15"/>
      <c r="D157" s="8"/>
      <c r="E157" s="16">
        <f t="shared" si="2"/>
        <v>0</v>
      </c>
      <c r="F157" s="8" t="s">
        <v>692</v>
      </c>
      <c r="G157" s="8"/>
      <c r="H157" s="8" t="s">
        <v>685</v>
      </c>
    </row>
    <row r="158" spans="1:8" ht="15" x14ac:dyDescent="0.25">
      <c r="A158" s="14" t="s">
        <v>157</v>
      </c>
      <c r="B158" s="140" t="s">
        <v>533</v>
      </c>
      <c r="C158" s="15"/>
      <c r="D158" s="8"/>
      <c r="E158" s="16">
        <f t="shared" si="2"/>
        <v>0</v>
      </c>
      <c r="F158" s="8" t="s">
        <v>692</v>
      </c>
      <c r="G158" s="8"/>
      <c r="H158" s="8" t="s">
        <v>685</v>
      </c>
    </row>
    <row r="159" spans="1:8" ht="17.399999999999999" x14ac:dyDescent="0.3">
      <c r="A159" s="82" t="s">
        <v>158</v>
      </c>
      <c r="B159" s="82"/>
      <c r="C159" s="74"/>
      <c r="D159" s="8"/>
      <c r="E159" s="16">
        <f t="shared" si="2"/>
        <v>0</v>
      </c>
      <c r="F159" s="8"/>
      <c r="G159" s="8"/>
      <c r="H159" s="8"/>
    </row>
    <row r="160" spans="1:8" ht="15" x14ac:dyDescent="0.25">
      <c r="A160" s="14" t="s">
        <v>160</v>
      </c>
      <c r="B160" s="140" t="s">
        <v>534</v>
      </c>
      <c r="C160" s="15">
        <v>10</v>
      </c>
      <c r="D160" s="8">
        <v>364.77</v>
      </c>
      <c r="E160" s="16">
        <f t="shared" si="2"/>
        <v>3647.7</v>
      </c>
      <c r="F160" s="8" t="s">
        <v>692</v>
      </c>
      <c r="G160" s="8"/>
      <c r="H160" s="8" t="s">
        <v>688</v>
      </c>
    </row>
    <row r="161" spans="1:8" ht="15" x14ac:dyDescent="0.25">
      <c r="A161" s="14" t="s">
        <v>159</v>
      </c>
      <c r="B161" s="140" t="s">
        <v>535</v>
      </c>
      <c r="C161" s="15">
        <v>10</v>
      </c>
      <c r="D161" s="8">
        <v>1305.47</v>
      </c>
      <c r="E161" s="16">
        <f t="shared" si="2"/>
        <v>13054.7</v>
      </c>
      <c r="F161" s="8" t="s">
        <v>692</v>
      </c>
      <c r="G161" s="8"/>
      <c r="H161" s="8" t="s">
        <v>688</v>
      </c>
    </row>
    <row r="162" spans="1:8" ht="17.399999999999999" x14ac:dyDescent="0.3">
      <c r="A162" s="82" t="s">
        <v>161</v>
      </c>
      <c r="B162" s="82"/>
      <c r="C162" s="74"/>
      <c r="D162" s="8"/>
      <c r="E162" s="16">
        <f t="shared" si="2"/>
        <v>0</v>
      </c>
      <c r="F162" s="8"/>
      <c r="G162" s="8"/>
      <c r="H162" s="8"/>
    </row>
    <row r="163" spans="1:8" ht="15" x14ac:dyDescent="0.25">
      <c r="A163" s="14" t="s">
        <v>162</v>
      </c>
      <c r="B163" s="140" t="s">
        <v>536</v>
      </c>
      <c r="C163" s="15">
        <v>100</v>
      </c>
      <c r="D163" s="8">
        <v>17.649999999999999</v>
      </c>
      <c r="E163" s="16">
        <f t="shared" si="2"/>
        <v>1764.9999999999998</v>
      </c>
      <c r="F163" s="8" t="s">
        <v>692</v>
      </c>
      <c r="G163" s="8"/>
      <c r="H163" s="8" t="s">
        <v>688</v>
      </c>
    </row>
    <row r="164" spans="1:8" ht="15" x14ac:dyDescent="0.25">
      <c r="A164" s="14" t="s">
        <v>163</v>
      </c>
      <c r="B164" s="140" t="s">
        <v>537</v>
      </c>
      <c r="C164" s="15">
        <v>530</v>
      </c>
      <c r="D164" s="8">
        <v>25.21</v>
      </c>
      <c r="E164" s="16">
        <f t="shared" si="2"/>
        <v>13361.300000000001</v>
      </c>
      <c r="F164" s="8" t="s">
        <v>692</v>
      </c>
      <c r="G164" s="8"/>
      <c r="H164" s="8" t="s">
        <v>688</v>
      </c>
    </row>
    <row r="165" spans="1:8" ht="15" x14ac:dyDescent="0.25">
      <c r="A165" s="14" t="s">
        <v>164</v>
      </c>
      <c r="B165" s="140" t="s">
        <v>538</v>
      </c>
      <c r="C165" s="15">
        <v>1800</v>
      </c>
      <c r="D165" s="8">
        <v>28.99</v>
      </c>
      <c r="E165" s="16">
        <f t="shared" si="2"/>
        <v>52182</v>
      </c>
      <c r="F165" s="8" t="s">
        <v>692</v>
      </c>
      <c r="G165" s="8"/>
      <c r="H165" s="8" t="s">
        <v>688</v>
      </c>
    </row>
    <row r="166" spans="1:8" ht="15" x14ac:dyDescent="0.25">
      <c r="A166" s="14" t="s">
        <v>165</v>
      </c>
      <c r="B166" s="140" t="s">
        <v>539</v>
      </c>
      <c r="C166" s="15">
        <v>900</v>
      </c>
      <c r="D166" s="8">
        <v>3.5</v>
      </c>
      <c r="E166" s="16">
        <f t="shared" si="2"/>
        <v>3150</v>
      </c>
      <c r="F166" s="8" t="s">
        <v>692</v>
      </c>
      <c r="G166" s="8"/>
      <c r="H166" s="8" t="s">
        <v>688</v>
      </c>
    </row>
    <row r="167" spans="1:8" ht="15" x14ac:dyDescent="0.25">
      <c r="A167" s="14" t="s">
        <v>166</v>
      </c>
      <c r="B167" s="140" t="s">
        <v>540</v>
      </c>
      <c r="C167" s="15"/>
      <c r="D167" s="8"/>
      <c r="E167" s="16">
        <f t="shared" si="2"/>
        <v>0</v>
      </c>
      <c r="F167" s="8"/>
      <c r="G167" s="8"/>
      <c r="H167" s="8" t="s">
        <v>688</v>
      </c>
    </row>
    <row r="168" spans="1:8" ht="17.399999999999999" x14ac:dyDescent="0.3">
      <c r="A168" s="82" t="s">
        <v>167</v>
      </c>
      <c r="B168" s="82"/>
      <c r="C168" s="74"/>
      <c r="D168" s="8"/>
      <c r="E168" s="16">
        <f t="shared" si="2"/>
        <v>0</v>
      </c>
      <c r="F168" s="8"/>
      <c r="G168" s="8"/>
      <c r="H168" s="8"/>
    </row>
    <row r="169" spans="1:8" ht="15" x14ac:dyDescent="0.25">
      <c r="A169" s="14" t="s">
        <v>168</v>
      </c>
      <c r="B169" s="140" t="s">
        <v>541</v>
      </c>
      <c r="C169" s="15"/>
      <c r="D169" s="8"/>
      <c r="E169" s="16">
        <f t="shared" si="2"/>
        <v>0</v>
      </c>
      <c r="F169" s="8" t="s">
        <v>692</v>
      </c>
      <c r="G169" s="8"/>
      <c r="H169" s="8"/>
    </row>
    <row r="170" spans="1:8" ht="15" x14ac:dyDescent="0.25">
      <c r="A170" s="14" t="s">
        <v>169</v>
      </c>
      <c r="B170" s="140" t="s">
        <v>542</v>
      </c>
      <c r="C170" s="15">
        <v>100</v>
      </c>
      <c r="D170" s="8">
        <v>104.36</v>
      </c>
      <c r="E170" s="16">
        <f t="shared" si="2"/>
        <v>10436</v>
      </c>
      <c r="F170" s="8" t="s">
        <v>692</v>
      </c>
      <c r="G170" s="8"/>
      <c r="H170" s="8"/>
    </row>
    <row r="171" spans="1:8" ht="17.399999999999999" x14ac:dyDescent="0.3">
      <c r="A171" s="82" t="s">
        <v>170</v>
      </c>
      <c r="B171" s="82"/>
      <c r="C171" s="74"/>
      <c r="D171" s="8"/>
      <c r="E171" s="16">
        <f t="shared" si="2"/>
        <v>0</v>
      </c>
      <c r="F171" s="8"/>
      <c r="G171" s="8"/>
      <c r="H171" s="8"/>
    </row>
    <row r="172" spans="1:8" ht="15" x14ac:dyDescent="0.25">
      <c r="A172" s="14" t="s">
        <v>234</v>
      </c>
      <c r="B172" s="140" t="s">
        <v>543</v>
      </c>
      <c r="C172" s="15">
        <v>50</v>
      </c>
      <c r="D172" s="8">
        <v>130.31</v>
      </c>
      <c r="E172" s="16">
        <f t="shared" si="2"/>
        <v>6515.5</v>
      </c>
      <c r="F172" s="8" t="s">
        <v>692</v>
      </c>
      <c r="G172" s="8"/>
      <c r="H172" s="8" t="s">
        <v>688</v>
      </c>
    </row>
    <row r="173" spans="1:8" ht="15" x14ac:dyDescent="0.25">
      <c r="A173" s="14" t="s">
        <v>171</v>
      </c>
      <c r="B173" s="140" t="s">
        <v>544</v>
      </c>
      <c r="C173" s="15">
        <v>40</v>
      </c>
      <c r="D173" s="8">
        <v>120</v>
      </c>
      <c r="E173" s="16">
        <f t="shared" si="2"/>
        <v>4800</v>
      </c>
      <c r="F173" s="8" t="s">
        <v>692</v>
      </c>
      <c r="G173" s="8"/>
      <c r="H173" s="8" t="s">
        <v>688</v>
      </c>
    </row>
    <row r="174" spans="1:8" ht="15" x14ac:dyDescent="0.25">
      <c r="A174" s="14" t="s">
        <v>172</v>
      </c>
      <c r="B174" s="140" t="s">
        <v>545</v>
      </c>
      <c r="C174" s="15">
        <v>110</v>
      </c>
      <c r="D174" s="8">
        <v>152</v>
      </c>
      <c r="E174" s="16">
        <f t="shared" si="2"/>
        <v>16720</v>
      </c>
      <c r="F174" s="8" t="s">
        <v>692</v>
      </c>
      <c r="G174" s="8"/>
      <c r="H174" s="8" t="s">
        <v>688</v>
      </c>
    </row>
    <row r="175" spans="1:8" ht="15" x14ac:dyDescent="0.25">
      <c r="A175" s="14" t="s">
        <v>548</v>
      </c>
      <c r="B175" s="140" t="s">
        <v>546</v>
      </c>
      <c r="C175" s="15">
        <v>100</v>
      </c>
      <c r="D175" s="8">
        <v>1300</v>
      </c>
      <c r="E175" s="16">
        <f t="shared" si="2"/>
        <v>130000</v>
      </c>
      <c r="F175" s="8" t="s">
        <v>697</v>
      </c>
      <c r="G175" s="8"/>
      <c r="H175" s="8" t="s">
        <v>688</v>
      </c>
    </row>
    <row r="176" spans="1:8" ht="15" x14ac:dyDescent="0.25">
      <c r="A176" s="14" t="s">
        <v>549</v>
      </c>
      <c r="B176" s="140" t="s">
        <v>547</v>
      </c>
      <c r="C176" s="15">
        <v>100</v>
      </c>
      <c r="D176" s="8">
        <v>1850</v>
      </c>
      <c r="E176" s="16">
        <f t="shared" si="2"/>
        <v>185000</v>
      </c>
      <c r="F176" s="8" t="s">
        <v>697</v>
      </c>
      <c r="G176" s="8"/>
      <c r="H176" s="8" t="s">
        <v>688</v>
      </c>
    </row>
    <row r="177" spans="1:8" ht="15" x14ac:dyDescent="0.25">
      <c r="A177" s="14" t="s">
        <v>174</v>
      </c>
      <c r="B177" s="140" t="s">
        <v>550</v>
      </c>
      <c r="C177" s="15"/>
      <c r="D177" s="8"/>
      <c r="E177" s="16">
        <f t="shared" si="2"/>
        <v>0</v>
      </c>
      <c r="F177" s="8" t="s">
        <v>692</v>
      </c>
      <c r="G177" s="8"/>
      <c r="H177" s="8" t="s">
        <v>688</v>
      </c>
    </row>
    <row r="178" spans="1:8" ht="15" x14ac:dyDescent="0.25">
      <c r="A178" s="14" t="s">
        <v>173</v>
      </c>
      <c r="B178" s="140" t="s">
        <v>551</v>
      </c>
      <c r="C178" s="15"/>
      <c r="D178" s="8"/>
      <c r="E178" s="16">
        <f t="shared" si="2"/>
        <v>0</v>
      </c>
      <c r="F178" s="8" t="s">
        <v>692</v>
      </c>
      <c r="G178" s="8"/>
      <c r="H178" s="8" t="s">
        <v>688</v>
      </c>
    </row>
    <row r="179" spans="1:8" ht="17.399999999999999" x14ac:dyDescent="0.3">
      <c r="A179" s="82" t="s">
        <v>175</v>
      </c>
      <c r="B179" s="82"/>
      <c r="C179" s="74"/>
      <c r="D179" s="8"/>
      <c r="E179" s="16">
        <f t="shared" si="2"/>
        <v>0</v>
      </c>
      <c r="F179" s="8"/>
      <c r="G179" s="8"/>
      <c r="H179" s="8"/>
    </row>
    <row r="180" spans="1:8" ht="15" x14ac:dyDescent="0.25">
      <c r="A180" s="14" t="s">
        <v>176</v>
      </c>
      <c r="B180" s="140" t="s">
        <v>552</v>
      </c>
      <c r="C180" s="15">
        <v>700</v>
      </c>
      <c r="D180" s="8">
        <v>28</v>
      </c>
      <c r="E180" s="16">
        <f t="shared" si="2"/>
        <v>19600</v>
      </c>
      <c r="F180" s="8" t="s">
        <v>692</v>
      </c>
      <c r="G180" s="8"/>
      <c r="H180" s="8" t="s">
        <v>688</v>
      </c>
    </row>
    <row r="181" spans="1:8" ht="15" x14ac:dyDescent="0.25">
      <c r="A181" s="14" t="s">
        <v>177</v>
      </c>
      <c r="B181" s="140" t="s">
        <v>554</v>
      </c>
      <c r="C181" s="15">
        <v>590</v>
      </c>
      <c r="D181" s="8">
        <v>25.2</v>
      </c>
      <c r="E181" s="16">
        <f t="shared" si="2"/>
        <v>14868</v>
      </c>
      <c r="F181" s="8" t="s">
        <v>692</v>
      </c>
      <c r="G181" s="8"/>
      <c r="H181" s="8" t="s">
        <v>688</v>
      </c>
    </row>
    <row r="182" spans="1:8" ht="15" x14ac:dyDescent="0.25">
      <c r="A182" s="14" t="s">
        <v>178</v>
      </c>
      <c r="B182" s="140" t="s">
        <v>555</v>
      </c>
      <c r="C182" s="15">
        <v>1000</v>
      </c>
      <c r="D182" s="8">
        <v>37.74</v>
      </c>
      <c r="E182" s="16">
        <f t="shared" si="2"/>
        <v>37740</v>
      </c>
      <c r="F182" s="8" t="s">
        <v>692</v>
      </c>
      <c r="G182" s="8"/>
      <c r="H182" s="8" t="s">
        <v>688</v>
      </c>
    </row>
    <row r="183" spans="1:8" ht="15" x14ac:dyDescent="0.25">
      <c r="A183" s="14" t="s">
        <v>553</v>
      </c>
      <c r="B183" s="140" t="s">
        <v>556</v>
      </c>
      <c r="C183" s="15">
        <v>50</v>
      </c>
      <c r="D183" s="8">
        <v>71.819999999999993</v>
      </c>
      <c r="E183" s="16">
        <f t="shared" si="2"/>
        <v>3590.9999999999995</v>
      </c>
      <c r="F183" s="8" t="s">
        <v>692</v>
      </c>
      <c r="G183" s="8"/>
      <c r="H183" s="8" t="s">
        <v>688</v>
      </c>
    </row>
    <row r="184" spans="1:8" ht="15" x14ac:dyDescent="0.25">
      <c r="A184" s="14" t="s">
        <v>179</v>
      </c>
      <c r="B184" s="140" t="s">
        <v>557</v>
      </c>
      <c r="C184" s="15">
        <v>300</v>
      </c>
      <c r="D184" s="8">
        <v>115.45</v>
      </c>
      <c r="E184" s="16">
        <f t="shared" si="2"/>
        <v>34635</v>
      </c>
      <c r="F184" s="8" t="s">
        <v>692</v>
      </c>
      <c r="G184" s="8"/>
      <c r="H184" s="8" t="s">
        <v>688</v>
      </c>
    </row>
    <row r="185" spans="1:8" ht="15" x14ac:dyDescent="0.25">
      <c r="A185" s="14" t="s">
        <v>180</v>
      </c>
      <c r="B185" s="140" t="s">
        <v>558</v>
      </c>
      <c r="C185" s="15"/>
      <c r="D185" s="8"/>
      <c r="E185" s="16">
        <f t="shared" si="2"/>
        <v>0</v>
      </c>
      <c r="F185" s="8" t="s">
        <v>692</v>
      </c>
      <c r="G185" s="8"/>
      <c r="H185" s="8" t="s">
        <v>688</v>
      </c>
    </row>
    <row r="186" spans="1:8" ht="15" x14ac:dyDescent="0.25">
      <c r="A186" s="14" t="s">
        <v>181</v>
      </c>
      <c r="B186" s="140" t="s">
        <v>559</v>
      </c>
      <c r="C186" s="15"/>
      <c r="D186" s="8"/>
      <c r="E186" s="16">
        <f t="shared" si="2"/>
        <v>0</v>
      </c>
      <c r="F186" s="8" t="s">
        <v>692</v>
      </c>
      <c r="G186" s="8"/>
      <c r="H186" s="8" t="s">
        <v>688</v>
      </c>
    </row>
    <row r="187" spans="1:8" ht="15" x14ac:dyDescent="0.25">
      <c r="A187" s="14" t="s">
        <v>182</v>
      </c>
      <c r="B187" s="140" t="s">
        <v>560</v>
      </c>
      <c r="C187" s="15"/>
      <c r="D187" s="8"/>
      <c r="E187" s="16">
        <f t="shared" si="2"/>
        <v>0</v>
      </c>
      <c r="F187" s="8" t="s">
        <v>692</v>
      </c>
      <c r="G187" s="8"/>
      <c r="H187" s="8" t="s">
        <v>688</v>
      </c>
    </row>
    <row r="188" spans="1:8" ht="15" x14ac:dyDescent="0.25">
      <c r="A188" s="14" t="s">
        <v>183</v>
      </c>
      <c r="B188" s="140" t="s">
        <v>561</v>
      </c>
      <c r="C188" s="15"/>
      <c r="D188" s="8"/>
      <c r="E188" s="16">
        <f t="shared" si="2"/>
        <v>0</v>
      </c>
      <c r="F188" s="8" t="s">
        <v>692</v>
      </c>
      <c r="G188" s="8"/>
      <c r="H188" s="8" t="s">
        <v>688</v>
      </c>
    </row>
    <row r="189" spans="1:8" ht="17.399999999999999" x14ac:dyDescent="0.3">
      <c r="A189" s="82" t="s">
        <v>184</v>
      </c>
      <c r="B189" s="82"/>
      <c r="C189" s="74"/>
      <c r="D189" s="8"/>
      <c r="E189" s="16">
        <f t="shared" ref="E189:E252" si="3">D189*C189</f>
        <v>0</v>
      </c>
      <c r="F189" s="8"/>
      <c r="G189" s="8"/>
      <c r="H189" s="8"/>
    </row>
    <row r="190" spans="1:8" ht="15" x14ac:dyDescent="0.25">
      <c r="A190" s="14" t="s">
        <v>185</v>
      </c>
      <c r="B190" s="140" t="s">
        <v>564</v>
      </c>
      <c r="C190" s="15">
        <v>1</v>
      </c>
      <c r="D190" s="8">
        <v>7696.99</v>
      </c>
      <c r="E190" s="16">
        <f t="shared" si="3"/>
        <v>7696.99</v>
      </c>
      <c r="F190" s="8" t="s">
        <v>692</v>
      </c>
      <c r="G190" s="8"/>
      <c r="H190" s="8" t="s">
        <v>689</v>
      </c>
    </row>
    <row r="191" spans="1:8" ht="15" x14ac:dyDescent="0.25">
      <c r="A191" s="14" t="s">
        <v>562</v>
      </c>
      <c r="B191" s="140" t="s">
        <v>565</v>
      </c>
      <c r="C191" s="15">
        <v>3</v>
      </c>
      <c r="D191" s="8">
        <v>4170.78</v>
      </c>
      <c r="E191" s="16">
        <f t="shared" si="3"/>
        <v>12512.34</v>
      </c>
      <c r="F191" s="8" t="s">
        <v>692</v>
      </c>
      <c r="G191" s="8"/>
      <c r="H191" s="8" t="s">
        <v>689</v>
      </c>
    </row>
    <row r="192" spans="1:8" ht="15" x14ac:dyDescent="0.25">
      <c r="A192" s="14" t="s">
        <v>186</v>
      </c>
      <c r="B192" s="140" t="s">
        <v>566</v>
      </c>
      <c r="C192" s="15"/>
      <c r="D192" s="8"/>
      <c r="E192" s="16">
        <f t="shared" si="3"/>
        <v>0</v>
      </c>
      <c r="F192" s="8" t="s">
        <v>692</v>
      </c>
      <c r="G192" s="8"/>
      <c r="H192" s="8" t="s">
        <v>689</v>
      </c>
    </row>
    <row r="193" spans="1:8" ht="15" x14ac:dyDescent="0.25">
      <c r="A193" s="14" t="s">
        <v>563</v>
      </c>
      <c r="B193" s="140" t="s">
        <v>567</v>
      </c>
      <c r="C193" s="15">
        <v>1</v>
      </c>
      <c r="D193" s="8">
        <v>9300</v>
      </c>
      <c r="E193" s="16">
        <f t="shared" si="3"/>
        <v>9300</v>
      </c>
      <c r="F193" s="8" t="s">
        <v>697</v>
      </c>
      <c r="G193" s="8"/>
      <c r="H193" s="8" t="s">
        <v>689</v>
      </c>
    </row>
    <row r="194" spans="1:8" ht="15" x14ac:dyDescent="0.25">
      <c r="A194" s="14" t="s">
        <v>187</v>
      </c>
      <c r="B194" s="140" t="s">
        <v>569</v>
      </c>
      <c r="C194" s="15">
        <v>2</v>
      </c>
      <c r="D194" s="8">
        <v>4722.4799999999996</v>
      </c>
      <c r="E194" s="16">
        <f t="shared" si="3"/>
        <v>9444.9599999999991</v>
      </c>
      <c r="F194" s="8" t="s">
        <v>692</v>
      </c>
      <c r="G194" s="8"/>
      <c r="H194" s="8" t="s">
        <v>689</v>
      </c>
    </row>
    <row r="195" spans="1:8" ht="17.399999999999999" x14ac:dyDescent="0.3">
      <c r="A195" s="82" t="s">
        <v>253</v>
      </c>
      <c r="B195" s="82"/>
      <c r="C195" s="74"/>
      <c r="D195" s="8"/>
      <c r="E195" s="16">
        <f t="shared" si="3"/>
        <v>0</v>
      </c>
      <c r="F195" s="8"/>
      <c r="G195" s="8"/>
      <c r="H195" s="8"/>
    </row>
    <row r="196" spans="1:8" ht="15" x14ac:dyDescent="0.25">
      <c r="A196" s="14" t="s">
        <v>188</v>
      </c>
      <c r="B196" s="140" t="s">
        <v>568</v>
      </c>
      <c r="C196" s="15">
        <v>5</v>
      </c>
      <c r="D196" s="8">
        <v>1637.5</v>
      </c>
      <c r="E196" s="16">
        <f t="shared" si="3"/>
        <v>8187.5</v>
      </c>
      <c r="F196" s="8" t="s">
        <v>692</v>
      </c>
      <c r="G196" s="8"/>
      <c r="H196" s="8" t="s">
        <v>690</v>
      </c>
    </row>
    <row r="197" spans="1:8" ht="15" x14ac:dyDescent="0.25">
      <c r="A197" s="14" t="s">
        <v>244</v>
      </c>
      <c r="B197" s="140" t="s">
        <v>570</v>
      </c>
      <c r="C197" s="15"/>
      <c r="D197" s="8"/>
      <c r="E197" s="16">
        <f t="shared" si="3"/>
        <v>0</v>
      </c>
      <c r="F197" s="8" t="s">
        <v>692</v>
      </c>
      <c r="G197" s="8"/>
      <c r="H197" s="8" t="s">
        <v>690</v>
      </c>
    </row>
    <row r="198" spans="1:8" ht="15" x14ac:dyDescent="0.25">
      <c r="A198" s="14" t="s">
        <v>245</v>
      </c>
      <c r="B198" s="140" t="s">
        <v>571</v>
      </c>
      <c r="C198" s="15">
        <v>4</v>
      </c>
      <c r="D198" s="8">
        <v>2176.04</v>
      </c>
      <c r="E198" s="16">
        <f t="shared" si="3"/>
        <v>8704.16</v>
      </c>
      <c r="F198" s="8" t="s">
        <v>692</v>
      </c>
      <c r="G198" s="8"/>
      <c r="H198" s="8" t="s">
        <v>690</v>
      </c>
    </row>
    <row r="199" spans="1:8" ht="15" x14ac:dyDescent="0.25">
      <c r="A199" s="14" t="s">
        <v>701</v>
      </c>
      <c r="B199" s="140" t="s">
        <v>572</v>
      </c>
      <c r="C199" s="15">
        <v>1</v>
      </c>
      <c r="D199" s="8">
        <v>1137.6500000000001</v>
      </c>
      <c r="E199" s="16">
        <f t="shared" si="3"/>
        <v>1137.6500000000001</v>
      </c>
      <c r="F199" s="8" t="s">
        <v>692</v>
      </c>
      <c r="G199" s="8"/>
      <c r="H199" s="8" t="s">
        <v>690</v>
      </c>
    </row>
    <row r="200" spans="1:8" ht="15" x14ac:dyDescent="0.25">
      <c r="A200" s="14" t="s">
        <v>190</v>
      </c>
      <c r="B200" s="140" t="s">
        <v>573</v>
      </c>
      <c r="C200" s="15">
        <v>35</v>
      </c>
      <c r="D200" s="8">
        <v>733.6</v>
      </c>
      <c r="E200" s="16">
        <f t="shared" si="3"/>
        <v>25676</v>
      </c>
      <c r="F200" s="8" t="s">
        <v>692</v>
      </c>
      <c r="G200" s="8"/>
      <c r="H200" s="8" t="s">
        <v>690</v>
      </c>
    </row>
    <row r="201" spans="1:8" ht="15" x14ac:dyDescent="0.25">
      <c r="A201" s="14" t="s">
        <v>254</v>
      </c>
      <c r="B201" s="140" t="s">
        <v>574</v>
      </c>
      <c r="C201" s="15">
        <v>1</v>
      </c>
      <c r="D201" s="8">
        <v>9000</v>
      </c>
      <c r="E201" s="16">
        <f t="shared" si="3"/>
        <v>9000</v>
      </c>
      <c r="F201" s="8" t="s">
        <v>697</v>
      </c>
      <c r="G201" s="8"/>
      <c r="H201" s="8" t="s">
        <v>690</v>
      </c>
    </row>
    <row r="202" spans="1:8" ht="15" x14ac:dyDescent="0.25">
      <c r="A202" s="14" t="s">
        <v>255</v>
      </c>
      <c r="B202" s="140" t="s">
        <v>575</v>
      </c>
      <c r="C202" s="15">
        <v>1</v>
      </c>
      <c r="D202" s="8">
        <v>3561.31</v>
      </c>
      <c r="E202" s="16">
        <f t="shared" si="3"/>
        <v>3561.31</v>
      </c>
      <c r="F202" s="8" t="s">
        <v>692</v>
      </c>
      <c r="G202" s="8"/>
      <c r="H202" s="8" t="s">
        <v>690</v>
      </c>
    </row>
    <row r="203" spans="1:8" ht="15" x14ac:dyDescent="0.25">
      <c r="A203" s="14" t="s">
        <v>193</v>
      </c>
      <c r="B203" s="140" t="s">
        <v>576</v>
      </c>
      <c r="C203" s="15">
        <v>130</v>
      </c>
      <c r="D203" s="8">
        <v>9.82</v>
      </c>
      <c r="E203" s="16">
        <f t="shared" si="3"/>
        <v>1276.6000000000001</v>
      </c>
      <c r="F203" s="8" t="s">
        <v>692</v>
      </c>
      <c r="G203" s="8"/>
      <c r="H203" s="8" t="s">
        <v>690</v>
      </c>
    </row>
    <row r="204" spans="1:8" ht="15" x14ac:dyDescent="0.25">
      <c r="A204" s="14" t="s">
        <v>194</v>
      </c>
      <c r="B204" s="140" t="s">
        <v>577</v>
      </c>
      <c r="C204" s="15">
        <v>1</v>
      </c>
      <c r="D204" s="8">
        <v>9827.66</v>
      </c>
      <c r="E204" s="16">
        <f t="shared" si="3"/>
        <v>9827.66</v>
      </c>
      <c r="F204" s="8" t="s">
        <v>692</v>
      </c>
      <c r="G204" s="8"/>
      <c r="H204" s="8" t="s">
        <v>691</v>
      </c>
    </row>
    <row r="205" spans="1:8" ht="15" x14ac:dyDescent="0.25">
      <c r="A205" s="14" t="s">
        <v>195</v>
      </c>
      <c r="B205" s="140" t="s">
        <v>578</v>
      </c>
      <c r="C205" s="15">
        <v>1</v>
      </c>
      <c r="D205" s="8">
        <v>9110.64</v>
      </c>
      <c r="E205" s="16">
        <f t="shared" si="3"/>
        <v>9110.64</v>
      </c>
      <c r="F205" s="8" t="s">
        <v>692</v>
      </c>
      <c r="G205" s="8"/>
      <c r="H205" s="8" t="s">
        <v>690</v>
      </c>
    </row>
    <row r="206" spans="1:8" ht="15" x14ac:dyDescent="0.25">
      <c r="A206" s="14" t="s">
        <v>196</v>
      </c>
      <c r="B206" s="140" t="s">
        <v>579</v>
      </c>
      <c r="C206" s="15">
        <v>10</v>
      </c>
      <c r="D206" s="8">
        <v>578.52</v>
      </c>
      <c r="E206" s="16">
        <f t="shared" si="3"/>
        <v>5785.2</v>
      </c>
      <c r="F206" s="8" t="s">
        <v>692</v>
      </c>
      <c r="G206" s="8"/>
      <c r="H206" s="8" t="s">
        <v>690</v>
      </c>
    </row>
    <row r="207" spans="1:8" ht="15" x14ac:dyDescent="0.25">
      <c r="A207" s="14" t="s">
        <v>197</v>
      </c>
      <c r="B207" s="140" t="s">
        <v>580</v>
      </c>
      <c r="C207" s="15"/>
      <c r="D207" s="8"/>
      <c r="E207" s="16">
        <f t="shared" si="3"/>
        <v>0</v>
      </c>
      <c r="F207" s="8" t="s">
        <v>692</v>
      </c>
      <c r="G207" s="8"/>
      <c r="H207" s="8" t="s">
        <v>690</v>
      </c>
    </row>
    <row r="208" spans="1:8" ht="15" x14ac:dyDescent="0.25">
      <c r="A208" s="14" t="s">
        <v>198</v>
      </c>
      <c r="B208" s="140" t="s">
        <v>581</v>
      </c>
      <c r="C208" s="15">
        <v>5</v>
      </c>
      <c r="D208" s="8">
        <v>1972.11</v>
      </c>
      <c r="E208" s="16">
        <f t="shared" si="3"/>
        <v>9860.5499999999993</v>
      </c>
      <c r="F208" s="8" t="s">
        <v>692</v>
      </c>
      <c r="G208" s="8"/>
      <c r="H208" s="8" t="s">
        <v>690</v>
      </c>
    </row>
    <row r="209" spans="1:8" ht="15" x14ac:dyDescent="0.25">
      <c r="A209" s="14" t="s">
        <v>199</v>
      </c>
      <c r="B209" s="140" t="s">
        <v>582</v>
      </c>
      <c r="C209" s="15"/>
      <c r="D209" s="8"/>
      <c r="E209" s="16">
        <f t="shared" si="3"/>
        <v>0</v>
      </c>
      <c r="F209" s="8" t="s">
        <v>692</v>
      </c>
      <c r="G209" s="8"/>
      <c r="H209" s="8" t="s">
        <v>690</v>
      </c>
    </row>
    <row r="210" spans="1:8" ht="15" x14ac:dyDescent="0.25">
      <c r="A210" s="14" t="s">
        <v>6</v>
      </c>
      <c r="B210" s="140" t="s">
        <v>583</v>
      </c>
      <c r="C210" s="15">
        <v>21</v>
      </c>
      <c r="D210" s="8"/>
      <c r="E210" s="16">
        <f t="shared" si="3"/>
        <v>0</v>
      </c>
      <c r="F210" s="8" t="s">
        <v>696</v>
      </c>
      <c r="G210" s="8"/>
      <c r="H210" s="8" t="s">
        <v>690</v>
      </c>
    </row>
    <row r="211" spans="1:8" ht="15" x14ac:dyDescent="0.25">
      <c r="A211" s="14" t="s">
        <v>200</v>
      </c>
      <c r="B211" s="140" t="s">
        <v>584</v>
      </c>
      <c r="C211" s="15"/>
      <c r="D211" s="8"/>
      <c r="E211" s="16">
        <f t="shared" si="3"/>
        <v>0</v>
      </c>
      <c r="F211" s="8" t="s">
        <v>692</v>
      </c>
      <c r="G211" s="8"/>
      <c r="H211" s="8" t="s">
        <v>690</v>
      </c>
    </row>
    <row r="212" spans="1:8" ht="15" x14ac:dyDescent="0.25">
      <c r="A212" s="14" t="s">
        <v>201</v>
      </c>
      <c r="B212" s="140" t="s">
        <v>585</v>
      </c>
      <c r="C212" s="15">
        <v>30</v>
      </c>
      <c r="D212" s="8">
        <v>3739.42</v>
      </c>
      <c r="E212" s="16">
        <f t="shared" si="3"/>
        <v>112182.6</v>
      </c>
      <c r="F212" s="8" t="s">
        <v>692</v>
      </c>
      <c r="G212" s="8"/>
      <c r="H212" s="8" t="s">
        <v>690</v>
      </c>
    </row>
    <row r="213" spans="1:8" ht="15" x14ac:dyDescent="0.25">
      <c r="A213" s="14" t="s">
        <v>202</v>
      </c>
      <c r="B213" s="140" t="s">
        <v>586</v>
      </c>
      <c r="C213" s="15"/>
      <c r="D213" s="8"/>
      <c r="E213" s="16">
        <f t="shared" si="3"/>
        <v>0</v>
      </c>
      <c r="F213" s="8"/>
      <c r="G213" s="8"/>
      <c r="H213" s="8" t="s">
        <v>690</v>
      </c>
    </row>
    <row r="214" spans="1:8" ht="17.399999999999999" x14ac:dyDescent="0.3">
      <c r="A214" s="82" t="s">
        <v>204</v>
      </c>
      <c r="B214" s="82"/>
      <c r="C214" s="74"/>
      <c r="D214" s="8"/>
      <c r="E214" s="16">
        <f t="shared" si="3"/>
        <v>0</v>
      </c>
      <c r="F214" s="8"/>
      <c r="G214" s="8"/>
      <c r="H214" s="8"/>
    </row>
    <row r="215" spans="1:8" ht="15" x14ac:dyDescent="0.25">
      <c r="A215" s="14" t="s">
        <v>205</v>
      </c>
      <c r="B215" s="140" t="s">
        <v>587</v>
      </c>
      <c r="C215" s="15">
        <v>14</v>
      </c>
      <c r="D215" s="8">
        <v>647.52</v>
      </c>
      <c r="E215" s="16">
        <f t="shared" si="3"/>
        <v>9065.2799999999988</v>
      </c>
      <c r="F215" s="8" t="s">
        <v>692</v>
      </c>
      <c r="G215" s="8"/>
      <c r="H215" s="8" t="s">
        <v>685</v>
      </c>
    </row>
    <row r="216" spans="1:8" ht="15" x14ac:dyDescent="0.25">
      <c r="A216" s="14" t="s">
        <v>206</v>
      </c>
      <c r="B216" s="140" t="s">
        <v>588</v>
      </c>
      <c r="C216" s="15">
        <v>10</v>
      </c>
      <c r="D216" s="8">
        <v>634.77</v>
      </c>
      <c r="E216" s="16">
        <f t="shared" si="3"/>
        <v>6347.7</v>
      </c>
      <c r="F216" s="8" t="s">
        <v>692</v>
      </c>
      <c r="G216" s="8"/>
      <c r="H216" s="8" t="s">
        <v>685</v>
      </c>
    </row>
    <row r="217" spans="1:8" ht="15" x14ac:dyDescent="0.25">
      <c r="A217" s="14" t="s">
        <v>207</v>
      </c>
      <c r="B217" s="140" t="s">
        <v>589</v>
      </c>
      <c r="C217" s="15"/>
      <c r="D217" s="8"/>
      <c r="E217" s="16">
        <f t="shared" si="3"/>
        <v>0</v>
      </c>
      <c r="F217" s="8" t="s">
        <v>692</v>
      </c>
      <c r="G217" s="8"/>
      <c r="H217" s="8" t="s">
        <v>685</v>
      </c>
    </row>
    <row r="218" spans="1:8" ht="15" x14ac:dyDescent="0.25">
      <c r="A218" s="14" t="s">
        <v>208</v>
      </c>
      <c r="B218" s="140" t="s">
        <v>590</v>
      </c>
      <c r="C218" s="15"/>
      <c r="D218" s="8"/>
      <c r="E218" s="16">
        <f t="shared" si="3"/>
        <v>0</v>
      </c>
      <c r="F218" s="8" t="s">
        <v>692</v>
      </c>
      <c r="G218" s="8"/>
      <c r="H218" s="8" t="s">
        <v>685</v>
      </c>
    </row>
    <row r="219" spans="1:8" ht="15" x14ac:dyDescent="0.25">
      <c r="A219" s="14" t="s">
        <v>209</v>
      </c>
      <c r="B219" s="140" t="s">
        <v>591</v>
      </c>
      <c r="C219" s="15">
        <v>2</v>
      </c>
      <c r="D219" s="8">
        <v>2141.31</v>
      </c>
      <c r="E219" s="16">
        <f t="shared" si="3"/>
        <v>4282.62</v>
      </c>
      <c r="F219" s="8" t="s">
        <v>692</v>
      </c>
      <c r="G219" s="8"/>
      <c r="H219" s="8" t="s">
        <v>685</v>
      </c>
    </row>
    <row r="220" spans="1:8" ht="15" x14ac:dyDescent="0.25">
      <c r="A220" s="14" t="s">
        <v>210</v>
      </c>
      <c r="B220" s="140" t="s">
        <v>592</v>
      </c>
      <c r="C220" s="15"/>
      <c r="D220" s="8"/>
      <c r="E220" s="16">
        <f t="shared" si="3"/>
        <v>0</v>
      </c>
      <c r="F220" s="8" t="s">
        <v>692</v>
      </c>
      <c r="G220" s="8"/>
      <c r="H220" s="8" t="s">
        <v>685</v>
      </c>
    </row>
    <row r="221" spans="1:8" ht="15" x14ac:dyDescent="0.25">
      <c r="A221" s="14" t="s">
        <v>211</v>
      </c>
      <c r="B221" s="140" t="s">
        <v>593</v>
      </c>
      <c r="C221" s="14"/>
      <c r="D221" s="8"/>
      <c r="E221" s="16">
        <f t="shared" si="3"/>
        <v>0</v>
      </c>
      <c r="F221" s="8" t="s">
        <v>692</v>
      </c>
      <c r="G221" s="8"/>
      <c r="H221" s="8" t="s">
        <v>685</v>
      </c>
    </row>
    <row r="222" spans="1:8" ht="15" x14ac:dyDescent="0.25">
      <c r="A222" s="24" t="s">
        <v>212</v>
      </c>
      <c r="B222" s="140" t="s">
        <v>594</v>
      </c>
      <c r="C222" s="14"/>
      <c r="D222" s="8"/>
      <c r="E222" s="16">
        <f t="shared" si="3"/>
        <v>0</v>
      </c>
      <c r="F222" s="8" t="s">
        <v>692</v>
      </c>
      <c r="G222" s="8"/>
      <c r="H222" s="8" t="s">
        <v>685</v>
      </c>
    </row>
    <row r="223" spans="1:8" ht="15" x14ac:dyDescent="0.25">
      <c r="A223" s="14" t="s">
        <v>349</v>
      </c>
      <c r="B223" s="140" t="s">
        <v>595</v>
      </c>
      <c r="C223" s="14">
        <v>1</v>
      </c>
      <c r="D223" s="8">
        <v>15418.7</v>
      </c>
      <c r="E223" s="16">
        <f t="shared" si="3"/>
        <v>15418.7</v>
      </c>
      <c r="F223" s="8" t="s">
        <v>692</v>
      </c>
      <c r="G223" s="8"/>
      <c r="H223" s="8" t="s">
        <v>685</v>
      </c>
    </row>
    <row r="224" spans="1:8" ht="15" x14ac:dyDescent="0.25">
      <c r="A224" s="14" t="s">
        <v>214</v>
      </c>
      <c r="B224" s="140" t="s">
        <v>596</v>
      </c>
      <c r="C224" s="14"/>
      <c r="D224" s="8"/>
      <c r="E224" s="16">
        <f t="shared" si="3"/>
        <v>0</v>
      </c>
      <c r="F224" s="8" t="s">
        <v>692</v>
      </c>
      <c r="G224" s="8"/>
      <c r="H224" s="8" t="s">
        <v>685</v>
      </c>
    </row>
    <row r="225" spans="1:8" ht="15" x14ac:dyDescent="0.25">
      <c r="A225" s="14" t="s">
        <v>215</v>
      </c>
      <c r="B225" s="140" t="s">
        <v>597</v>
      </c>
      <c r="C225" s="14">
        <v>3</v>
      </c>
      <c r="D225" s="8">
        <v>2124.1</v>
      </c>
      <c r="E225" s="16">
        <f t="shared" si="3"/>
        <v>6372.2999999999993</v>
      </c>
      <c r="F225" s="8" t="s">
        <v>692</v>
      </c>
      <c r="G225" s="8"/>
      <c r="H225" s="8" t="s">
        <v>685</v>
      </c>
    </row>
    <row r="226" spans="1:8" ht="17.399999999999999" x14ac:dyDescent="0.3">
      <c r="A226" s="82" t="s">
        <v>216</v>
      </c>
      <c r="B226" s="82"/>
      <c r="C226" s="75"/>
      <c r="D226" s="8"/>
      <c r="E226" s="16">
        <f t="shared" si="3"/>
        <v>0</v>
      </c>
      <c r="F226" s="8"/>
      <c r="G226" s="8"/>
      <c r="H226" s="8"/>
    </row>
    <row r="227" spans="1:8" ht="15" x14ac:dyDescent="0.25">
      <c r="A227" s="24" t="s">
        <v>217</v>
      </c>
      <c r="B227" s="140" t="s">
        <v>598</v>
      </c>
      <c r="C227" s="14">
        <v>3</v>
      </c>
      <c r="D227" s="8">
        <v>2816.79</v>
      </c>
      <c r="E227" s="16">
        <f t="shared" si="3"/>
        <v>8450.369999999999</v>
      </c>
      <c r="F227" s="8" t="s">
        <v>692</v>
      </c>
      <c r="G227" s="8"/>
      <c r="H227" s="8" t="s">
        <v>685</v>
      </c>
    </row>
    <row r="228" spans="1:8" ht="15" x14ac:dyDescent="0.25">
      <c r="A228" s="14" t="s">
        <v>218</v>
      </c>
      <c r="B228" s="140" t="s">
        <v>599</v>
      </c>
      <c r="C228" s="14"/>
      <c r="D228" s="8"/>
      <c r="E228" s="16">
        <f t="shared" si="3"/>
        <v>0</v>
      </c>
      <c r="F228" s="8" t="s">
        <v>692</v>
      </c>
      <c r="G228" s="8"/>
      <c r="H228" s="8" t="s">
        <v>685</v>
      </c>
    </row>
    <row r="229" spans="1:8" ht="17.399999999999999" x14ac:dyDescent="0.3">
      <c r="A229" s="82" t="s">
        <v>219</v>
      </c>
      <c r="B229" s="82"/>
      <c r="C229" s="75"/>
      <c r="D229" s="8"/>
      <c r="E229" s="16">
        <f t="shared" si="3"/>
        <v>0</v>
      </c>
      <c r="F229" s="8"/>
      <c r="G229" s="8"/>
      <c r="H229" s="8"/>
    </row>
    <row r="230" spans="1:8" ht="15" x14ac:dyDescent="0.25">
      <c r="A230" s="20" t="s">
        <v>220</v>
      </c>
      <c r="B230" s="140" t="s">
        <v>600</v>
      </c>
      <c r="C230" s="14">
        <v>20</v>
      </c>
      <c r="D230" s="8">
        <v>269.67</v>
      </c>
      <c r="E230" s="16">
        <f t="shared" si="3"/>
        <v>5393.4000000000005</v>
      </c>
      <c r="F230" s="8" t="s">
        <v>692</v>
      </c>
      <c r="G230" s="8"/>
      <c r="H230" s="8" t="s">
        <v>685</v>
      </c>
    </row>
    <row r="231" spans="1:8" ht="15" x14ac:dyDescent="0.25">
      <c r="A231" s="20" t="s">
        <v>221</v>
      </c>
      <c r="B231" s="140" t="s">
        <v>601</v>
      </c>
      <c r="C231" s="14"/>
      <c r="D231" s="8"/>
      <c r="E231" s="16">
        <f t="shared" si="3"/>
        <v>0</v>
      </c>
      <c r="F231" s="8" t="s">
        <v>692</v>
      </c>
      <c r="G231" s="8"/>
      <c r="H231" s="8" t="s">
        <v>685</v>
      </c>
    </row>
    <row r="232" spans="1:8" ht="15" x14ac:dyDescent="0.25">
      <c r="A232" s="14" t="s">
        <v>222</v>
      </c>
      <c r="B232" s="140" t="s">
        <v>602</v>
      </c>
      <c r="C232" s="23">
        <v>50</v>
      </c>
      <c r="D232" s="8">
        <v>92.22</v>
      </c>
      <c r="E232" s="16">
        <f t="shared" si="3"/>
        <v>4611</v>
      </c>
      <c r="F232" s="8" t="s">
        <v>692</v>
      </c>
      <c r="G232" s="8"/>
      <c r="H232" s="8" t="s">
        <v>685</v>
      </c>
    </row>
    <row r="233" spans="1:8" ht="15" x14ac:dyDescent="0.25">
      <c r="A233" s="14" t="s">
        <v>223</v>
      </c>
      <c r="B233" s="140" t="s">
        <v>603</v>
      </c>
      <c r="C233" s="14"/>
      <c r="D233" s="8"/>
      <c r="E233" s="16">
        <f t="shared" si="3"/>
        <v>0</v>
      </c>
      <c r="F233" s="8" t="s">
        <v>692</v>
      </c>
      <c r="G233" s="8"/>
      <c r="H233" s="8" t="s">
        <v>685</v>
      </c>
    </row>
    <row r="234" spans="1:8" ht="17.399999999999999" x14ac:dyDescent="0.3">
      <c r="A234" s="82" t="s">
        <v>224</v>
      </c>
      <c r="B234" s="82"/>
      <c r="C234" s="75"/>
      <c r="D234" s="8"/>
      <c r="E234" s="16">
        <f t="shared" si="3"/>
        <v>0</v>
      </c>
      <c r="F234" s="8"/>
      <c r="G234" s="8"/>
      <c r="H234" s="8"/>
    </row>
    <row r="235" spans="1:8" ht="15" x14ac:dyDescent="0.25">
      <c r="A235" s="14" t="s">
        <v>225</v>
      </c>
      <c r="B235" s="140" t="s">
        <v>604</v>
      </c>
      <c r="C235" s="23">
        <v>53</v>
      </c>
      <c r="D235" s="8">
        <v>525.69000000000005</v>
      </c>
      <c r="E235" s="16">
        <f t="shared" si="3"/>
        <v>27861.570000000003</v>
      </c>
      <c r="F235" s="8" t="s">
        <v>693</v>
      </c>
      <c r="G235" s="8">
        <v>101064</v>
      </c>
      <c r="H235" s="8" t="s">
        <v>685</v>
      </c>
    </row>
    <row r="236" spans="1:8" ht="15" x14ac:dyDescent="0.25">
      <c r="A236" s="14" t="s">
        <v>226</v>
      </c>
      <c r="B236" s="140" t="s">
        <v>605</v>
      </c>
      <c r="C236" s="23">
        <v>5</v>
      </c>
      <c r="D236" s="8">
        <v>415</v>
      </c>
      <c r="E236" s="16">
        <f t="shared" si="3"/>
        <v>2075</v>
      </c>
      <c r="F236" s="8" t="s">
        <v>695</v>
      </c>
      <c r="G236" s="8">
        <v>4041026</v>
      </c>
      <c r="H236" s="8" t="s">
        <v>685</v>
      </c>
    </row>
    <row r="237" spans="1:8" ht="17.399999999999999" x14ac:dyDescent="0.3">
      <c r="A237" s="108" t="s">
        <v>248</v>
      </c>
      <c r="B237" s="108"/>
      <c r="C237" s="70"/>
      <c r="D237" s="8"/>
      <c r="E237" s="16">
        <f t="shared" si="3"/>
        <v>0</v>
      </c>
      <c r="F237" s="8"/>
      <c r="G237" s="8"/>
      <c r="H237" s="8"/>
    </row>
    <row r="238" spans="1:8" ht="15" x14ac:dyDescent="0.25">
      <c r="A238" s="14" t="s">
        <v>227</v>
      </c>
      <c r="B238" s="140" t="s">
        <v>606</v>
      </c>
      <c r="C238" s="23">
        <v>1</v>
      </c>
      <c r="D238" s="8">
        <v>4597.41</v>
      </c>
      <c r="E238" s="16">
        <f t="shared" si="3"/>
        <v>4597.41</v>
      </c>
      <c r="F238" s="8" t="s">
        <v>693</v>
      </c>
      <c r="G238" s="8">
        <v>100040</v>
      </c>
      <c r="H238" s="8" t="s">
        <v>685</v>
      </c>
    </row>
    <row r="239" spans="1:8" ht="15" x14ac:dyDescent="0.25">
      <c r="A239" s="14" t="s">
        <v>228</v>
      </c>
      <c r="B239" s="140" t="s">
        <v>607</v>
      </c>
      <c r="C239" s="23">
        <v>50</v>
      </c>
      <c r="D239" s="8">
        <v>226.09</v>
      </c>
      <c r="E239" s="16">
        <f t="shared" si="3"/>
        <v>11304.5</v>
      </c>
      <c r="F239" s="8" t="s">
        <v>693</v>
      </c>
      <c r="G239" s="8">
        <v>100150</v>
      </c>
      <c r="H239" s="8" t="s">
        <v>685</v>
      </c>
    </row>
    <row r="240" spans="1:8" ht="15" x14ac:dyDescent="0.25">
      <c r="A240" s="14" t="s">
        <v>229</v>
      </c>
      <c r="B240" s="140" t="s">
        <v>608</v>
      </c>
      <c r="C240" s="23"/>
      <c r="D240" s="8"/>
      <c r="E240" s="16">
        <f t="shared" si="3"/>
        <v>0</v>
      </c>
      <c r="F240" s="8"/>
      <c r="G240" s="8"/>
      <c r="H240" s="8" t="s">
        <v>685</v>
      </c>
    </row>
    <row r="241" spans="1:8" ht="17.399999999999999" x14ac:dyDescent="0.3">
      <c r="A241" s="108" t="s">
        <v>251</v>
      </c>
      <c r="B241" s="108"/>
      <c r="C241" s="70"/>
      <c r="D241" s="8"/>
      <c r="E241" s="16">
        <f t="shared" si="3"/>
        <v>0</v>
      </c>
      <c r="F241" s="8"/>
      <c r="G241" s="8"/>
      <c r="H241" s="8"/>
    </row>
    <row r="242" spans="1:8" ht="15" x14ac:dyDescent="0.25">
      <c r="A242" s="14" t="s">
        <v>252</v>
      </c>
      <c r="B242" s="140" t="s">
        <v>609</v>
      </c>
      <c r="C242" s="23">
        <v>5</v>
      </c>
      <c r="D242" s="8">
        <v>20000</v>
      </c>
      <c r="E242" s="16">
        <f t="shared" si="3"/>
        <v>100000</v>
      </c>
      <c r="F242" s="8" t="s">
        <v>697</v>
      </c>
      <c r="G242" s="8"/>
      <c r="H242" s="8" t="s">
        <v>685</v>
      </c>
    </row>
    <row r="243" spans="1:8" ht="15" x14ac:dyDescent="0.25">
      <c r="A243" s="14" t="s">
        <v>191</v>
      </c>
      <c r="B243" s="140" t="s">
        <v>610</v>
      </c>
      <c r="C243" s="15"/>
      <c r="D243" s="8"/>
      <c r="E243" s="16">
        <f t="shared" si="3"/>
        <v>0</v>
      </c>
      <c r="F243" s="8" t="s">
        <v>692</v>
      </c>
      <c r="G243" s="8"/>
      <c r="H243" s="8" t="s">
        <v>685</v>
      </c>
    </row>
    <row r="244" spans="1:8" ht="15" x14ac:dyDescent="0.25">
      <c r="A244" s="14" t="s">
        <v>192</v>
      </c>
      <c r="B244" s="140" t="s">
        <v>611</v>
      </c>
      <c r="C244" s="15">
        <v>1</v>
      </c>
      <c r="D244" s="8">
        <v>7434</v>
      </c>
      <c r="E244" s="16">
        <f t="shared" si="3"/>
        <v>7434</v>
      </c>
      <c r="F244" s="8" t="s">
        <v>692</v>
      </c>
      <c r="G244" s="8"/>
      <c r="H244" s="8" t="s">
        <v>685</v>
      </c>
    </row>
    <row r="245" spans="1:8" ht="15" x14ac:dyDescent="0.25">
      <c r="A245" s="14" t="s">
        <v>249</v>
      </c>
      <c r="B245" s="140" t="s">
        <v>612</v>
      </c>
      <c r="C245" s="15">
        <v>4</v>
      </c>
      <c r="D245" s="8">
        <v>4718</v>
      </c>
      <c r="E245" s="16">
        <f t="shared" si="3"/>
        <v>18872</v>
      </c>
      <c r="F245" s="8" t="s">
        <v>697</v>
      </c>
      <c r="G245" s="8"/>
      <c r="H245" s="8" t="s">
        <v>685</v>
      </c>
    </row>
    <row r="246" spans="1:8" ht="15" x14ac:dyDescent="0.25">
      <c r="A246" s="14" t="s">
        <v>250</v>
      </c>
      <c r="B246" s="140" t="s">
        <v>613</v>
      </c>
      <c r="C246" s="15">
        <v>1</v>
      </c>
      <c r="D246" s="8">
        <v>4414.97</v>
      </c>
      <c r="E246" s="16">
        <f t="shared" si="3"/>
        <v>4414.97</v>
      </c>
      <c r="F246" s="8" t="s">
        <v>693</v>
      </c>
      <c r="G246" s="8">
        <v>100150</v>
      </c>
      <c r="H246" s="8" t="s">
        <v>685</v>
      </c>
    </row>
    <row r="247" spans="1:8" ht="15" x14ac:dyDescent="0.25">
      <c r="A247" s="14" t="s">
        <v>203</v>
      </c>
      <c r="B247" s="140" t="s">
        <v>644</v>
      </c>
      <c r="C247" s="15"/>
      <c r="D247" s="8"/>
      <c r="E247" s="16">
        <f t="shared" si="3"/>
        <v>0</v>
      </c>
      <c r="F247" s="8"/>
      <c r="G247" s="8"/>
      <c r="H247" s="8" t="s">
        <v>685</v>
      </c>
    </row>
    <row r="248" spans="1:8" ht="15" x14ac:dyDescent="0.25">
      <c r="A248" s="75" t="s">
        <v>389</v>
      </c>
      <c r="B248" s="75"/>
      <c r="C248" s="8"/>
      <c r="D248" s="8"/>
      <c r="E248" s="16">
        <f t="shared" si="3"/>
        <v>0</v>
      </c>
      <c r="F248" s="8"/>
      <c r="G248" s="8"/>
      <c r="H248" s="8"/>
    </row>
    <row r="249" spans="1:8" ht="15" x14ac:dyDescent="0.25">
      <c r="A249" s="8" t="s">
        <v>614</v>
      </c>
      <c r="B249" s="140" t="s">
        <v>645</v>
      </c>
      <c r="C249" s="8">
        <v>70</v>
      </c>
      <c r="D249" s="8"/>
      <c r="E249" s="16">
        <f t="shared" si="3"/>
        <v>0</v>
      </c>
      <c r="F249" s="8" t="s">
        <v>697</v>
      </c>
      <c r="G249" s="8"/>
      <c r="H249" s="8" t="s">
        <v>685</v>
      </c>
    </row>
    <row r="250" spans="1:8" ht="15" x14ac:dyDescent="0.25">
      <c r="A250" s="8" t="s">
        <v>615</v>
      </c>
      <c r="B250" s="140" t="s">
        <v>646</v>
      </c>
      <c r="C250" s="8">
        <v>2</v>
      </c>
      <c r="D250" s="8">
        <v>3871.01</v>
      </c>
      <c r="E250" s="16">
        <f t="shared" si="3"/>
        <v>7742.02</v>
      </c>
      <c r="F250" s="8" t="s">
        <v>693</v>
      </c>
      <c r="G250" s="8">
        <v>100360</v>
      </c>
      <c r="H250" s="8" t="s">
        <v>685</v>
      </c>
    </row>
    <row r="251" spans="1:8" ht="15" x14ac:dyDescent="0.25">
      <c r="A251" s="8" t="s">
        <v>616</v>
      </c>
      <c r="B251" s="140" t="s">
        <v>647</v>
      </c>
      <c r="C251" s="8">
        <v>5</v>
      </c>
      <c r="D251" s="8">
        <v>822.23</v>
      </c>
      <c r="E251" s="16">
        <f t="shared" si="3"/>
        <v>4111.1499999999996</v>
      </c>
      <c r="F251" s="8" t="s">
        <v>693</v>
      </c>
      <c r="G251" s="8">
        <v>100349</v>
      </c>
      <c r="H251" s="8" t="s">
        <v>685</v>
      </c>
    </row>
    <row r="252" spans="1:8" ht="15" x14ac:dyDescent="0.25">
      <c r="A252" s="8" t="s">
        <v>617</v>
      </c>
      <c r="B252" s="140" t="s">
        <v>648</v>
      </c>
      <c r="C252" s="8">
        <v>50</v>
      </c>
      <c r="D252" s="8">
        <v>584.94000000000005</v>
      </c>
      <c r="E252" s="16">
        <f t="shared" si="3"/>
        <v>29247.000000000004</v>
      </c>
      <c r="F252" s="8" t="s">
        <v>693</v>
      </c>
      <c r="G252" s="8">
        <v>100343</v>
      </c>
      <c r="H252" s="8" t="s">
        <v>685</v>
      </c>
    </row>
    <row r="253" spans="1:8" ht="15" x14ac:dyDescent="0.25">
      <c r="A253" s="8" t="s">
        <v>618</v>
      </c>
      <c r="B253" s="140" t="s">
        <v>649</v>
      </c>
      <c r="C253" s="8">
        <v>3</v>
      </c>
      <c r="D253" s="8">
        <v>1586.46</v>
      </c>
      <c r="E253" s="16">
        <f t="shared" ref="E253:E281" si="4">D253*C253</f>
        <v>4759.38</v>
      </c>
      <c r="F253" s="8" t="s">
        <v>692</v>
      </c>
      <c r="G253" s="8"/>
      <c r="H253" s="8" t="s">
        <v>685</v>
      </c>
    </row>
    <row r="254" spans="1:8" ht="15" x14ac:dyDescent="0.25">
      <c r="A254" s="8" t="s">
        <v>619</v>
      </c>
      <c r="B254" s="140" t="s">
        <v>650</v>
      </c>
      <c r="C254" s="8">
        <v>3</v>
      </c>
      <c r="D254" s="8">
        <v>4158</v>
      </c>
      <c r="E254" s="16">
        <f t="shared" si="4"/>
        <v>12474</v>
      </c>
      <c r="F254" s="8" t="s">
        <v>692</v>
      </c>
      <c r="G254" s="8"/>
      <c r="H254" s="8" t="s">
        <v>685</v>
      </c>
    </row>
    <row r="255" spans="1:8" ht="15" x14ac:dyDescent="0.25">
      <c r="A255" s="8" t="s">
        <v>620</v>
      </c>
      <c r="B255" s="140" t="s">
        <v>651</v>
      </c>
      <c r="C255" s="8">
        <v>1</v>
      </c>
      <c r="D255" s="8">
        <v>6276.33</v>
      </c>
      <c r="E255" s="16">
        <f t="shared" si="4"/>
        <v>6276.33</v>
      </c>
      <c r="F255" s="8" t="s">
        <v>692</v>
      </c>
      <c r="G255" s="8"/>
      <c r="H255" s="8" t="s">
        <v>685</v>
      </c>
    </row>
    <row r="256" spans="1:8" ht="15" x14ac:dyDescent="0.25">
      <c r="A256" s="8" t="s">
        <v>621</v>
      </c>
      <c r="B256" s="140" t="s">
        <v>652</v>
      </c>
      <c r="C256" s="8">
        <v>1</v>
      </c>
      <c r="D256" s="8">
        <v>4307.7700000000004</v>
      </c>
      <c r="E256" s="16">
        <f t="shared" si="4"/>
        <v>4307.7700000000004</v>
      </c>
      <c r="F256" s="8" t="s">
        <v>692</v>
      </c>
      <c r="G256" s="8"/>
      <c r="H256" s="8" t="s">
        <v>685</v>
      </c>
    </row>
    <row r="257" spans="1:8" ht="15" x14ac:dyDescent="0.25">
      <c r="A257" s="8" t="s">
        <v>622</v>
      </c>
      <c r="B257" s="140" t="s">
        <v>653</v>
      </c>
      <c r="C257" s="8">
        <v>8</v>
      </c>
      <c r="D257" s="8">
        <v>5360.66</v>
      </c>
      <c r="E257" s="16">
        <f t="shared" si="4"/>
        <v>42885.279999999999</v>
      </c>
      <c r="F257" s="8" t="s">
        <v>692</v>
      </c>
      <c r="G257" s="8"/>
      <c r="H257" s="8" t="s">
        <v>685</v>
      </c>
    </row>
    <row r="258" spans="1:8" ht="15" x14ac:dyDescent="0.25">
      <c r="A258" s="8" t="s">
        <v>623</v>
      </c>
      <c r="B258" s="140" t="s">
        <v>654</v>
      </c>
      <c r="C258" s="8">
        <v>200</v>
      </c>
      <c r="D258" s="8">
        <v>185</v>
      </c>
      <c r="E258" s="16">
        <f t="shared" si="4"/>
        <v>37000</v>
      </c>
      <c r="F258" s="8" t="s">
        <v>695</v>
      </c>
      <c r="G258" s="8">
        <v>1017002</v>
      </c>
      <c r="H258" s="8" t="s">
        <v>685</v>
      </c>
    </row>
    <row r="259" spans="1:8" ht="15" x14ac:dyDescent="0.25">
      <c r="A259" s="8" t="s">
        <v>624</v>
      </c>
      <c r="B259" s="140" t="s">
        <v>655</v>
      </c>
      <c r="C259" s="8">
        <v>130</v>
      </c>
      <c r="D259" s="8">
        <v>250</v>
      </c>
      <c r="E259" s="16">
        <f t="shared" si="4"/>
        <v>32500</v>
      </c>
      <c r="F259" s="8" t="s">
        <v>695</v>
      </c>
      <c r="G259" s="8">
        <v>1017043</v>
      </c>
      <c r="H259" s="8" t="s">
        <v>685</v>
      </c>
    </row>
    <row r="260" spans="1:8" ht="15" x14ac:dyDescent="0.25">
      <c r="A260" s="8" t="s">
        <v>625</v>
      </c>
      <c r="B260" s="140" t="s">
        <v>656</v>
      </c>
      <c r="C260" s="8">
        <v>4</v>
      </c>
      <c r="D260" s="8">
        <v>3696.54</v>
      </c>
      <c r="E260" s="16">
        <f t="shared" si="4"/>
        <v>14786.16</v>
      </c>
      <c r="F260" s="8" t="s">
        <v>696</v>
      </c>
      <c r="G260" s="8" t="s">
        <v>709</v>
      </c>
      <c r="H260" s="8" t="s">
        <v>685</v>
      </c>
    </row>
    <row r="261" spans="1:8" ht="15" x14ac:dyDescent="0.25">
      <c r="A261" s="8" t="s">
        <v>626</v>
      </c>
      <c r="B261" s="140" t="s">
        <v>657</v>
      </c>
      <c r="C261" s="8">
        <v>1</v>
      </c>
      <c r="D261" s="8">
        <v>4412.62</v>
      </c>
      <c r="E261" s="16">
        <f t="shared" si="4"/>
        <v>4412.62</v>
      </c>
      <c r="F261" s="8" t="s">
        <v>696</v>
      </c>
      <c r="G261" s="8" t="s">
        <v>710</v>
      </c>
      <c r="H261" s="8" t="s">
        <v>685</v>
      </c>
    </row>
    <row r="262" spans="1:8" ht="15" x14ac:dyDescent="0.25">
      <c r="A262" s="8" t="s">
        <v>627</v>
      </c>
      <c r="B262" s="140" t="s">
        <v>658</v>
      </c>
      <c r="C262" s="8">
        <v>8</v>
      </c>
      <c r="D262" s="8">
        <v>267.57</v>
      </c>
      <c r="E262" s="16">
        <f t="shared" si="4"/>
        <v>2140.56</v>
      </c>
      <c r="F262" s="8" t="s">
        <v>692</v>
      </c>
      <c r="G262" s="8"/>
      <c r="H262" s="8" t="s">
        <v>685</v>
      </c>
    </row>
    <row r="263" spans="1:8" ht="15" x14ac:dyDescent="0.25">
      <c r="A263" s="8" t="s">
        <v>628</v>
      </c>
      <c r="B263" s="140" t="s">
        <v>659</v>
      </c>
      <c r="C263" s="8">
        <v>40</v>
      </c>
      <c r="D263" s="8">
        <v>189.07</v>
      </c>
      <c r="E263" s="16">
        <f t="shared" si="4"/>
        <v>7562.7999999999993</v>
      </c>
      <c r="F263" s="8" t="s">
        <v>693</v>
      </c>
      <c r="G263" s="8">
        <v>100821</v>
      </c>
      <c r="H263" s="8" t="s">
        <v>685</v>
      </c>
    </row>
    <row r="264" spans="1:8" ht="15" x14ac:dyDescent="0.25">
      <c r="A264" s="8" t="s">
        <v>629</v>
      </c>
      <c r="B264" s="140" t="s">
        <v>660</v>
      </c>
      <c r="C264" s="8">
        <v>15</v>
      </c>
      <c r="D264" s="8"/>
      <c r="E264" s="16">
        <f t="shared" si="4"/>
        <v>0</v>
      </c>
      <c r="F264" s="8" t="s">
        <v>695</v>
      </c>
      <c r="G264" s="8"/>
      <c r="H264" s="8" t="s">
        <v>685</v>
      </c>
    </row>
    <row r="265" spans="1:8" ht="15" x14ac:dyDescent="0.25">
      <c r="A265" s="8" t="s">
        <v>630</v>
      </c>
      <c r="B265" s="140" t="s">
        <v>661</v>
      </c>
      <c r="C265" s="8">
        <v>5</v>
      </c>
      <c r="D265" s="8">
        <v>3621.65</v>
      </c>
      <c r="E265" s="16">
        <f t="shared" si="4"/>
        <v>18108.25</v>
      </c>
      <c r="F265" s="8" t="s">
        <v>693</v>
      </c>
      <c r="G265" s="8">
        <v>100275</v>
      </c>
      <c r="H265" s="8" t="s">
        <v>685</v>
      </c>
    </row>
    <row r="266" spans="1:8" ht="15" x14ac:dyDescent="0.25">
      <c r="A266" s="8" t="s">
        <v>631</v>
      </c>
      <c r="B266" s="140" t="s">
        <v>662</v>
      </c>
      <c r="C266" s="8">
        <v>1</v>
      </c>
      <c r="D266" s="8">
        <v>1981.93</v>
      </c>
      <c r="E266" s="16">
        <f t="shared" si="4"/>
        <v>1981.93</v>
      </c>
      <c r="F266" s="8" t="s">
        <v>693</v>
      </c>
      <c r="G266" s="8">
        <v>100270</v>
      </c>
      <c r="H266" s="8" t="s">
        <v>685</v>
      </c>
    </row>
    <row r="267" spans="1:8" ht="15" x14ac:dyDescent="0.25">
      <c r="A267" s="8" t="s">
        <v>632</v>
      </c>
      <c r="B267" s="140" t="s">
        <v>663</v>
      </c>
      <c r="C267" s="8">
        <v>10</v>
      </c>
      <c r="D267" s="8">
        <v>1352.52</v>
      </c>
      <c r="E267" s="16">
        <f t="shared" si="4"/>
        <v>13525.2</v>
      </c>
      <c r="F267" s="8" t="s">
        <v>696</v>
      </c>
      <c r="G267" s="8" t="s">
        <v>711</v>
      </c>
      <c r="H267" s="8" t="s">
        <v>685</v>
      </c>
    </row>
    <row r="268" spans="1:8" ht="15" x14ac:dyDescent="0.25">
      <c r="A268" s="8" t="s">
        <v>633</v>
      </c>
      <c r="B268" s="140" t="s">
        <v>664</v>
      </c>
      <c r="C268" s="8">
        <v>11</v>
      </c>
      <c r="D268" s="8">
        <v>1875.43</v>
      </c>
      <c r="E268" s="16">
        <f t="shared" si="4"/>
        <v>20629.73</v>
      </c>
      <c r="F268" s="8" t="s">
        <v>696</v>
      </c>
      <c r="G268" s="8" t="s">
        <v>712</v>
      </c>
      <c r="H268" s="8" t="s">
        <v>685</v>
      </c>
    </row>
    <row r="269" spans="1:8" ht="15" x14ac:dyDescent="0.25">
      <c r="A269" s="8" t="s">
        <v>634</v>
      </c>
      <c r="B269" s="140" t="s">
        <v>665</v>
      </c>
      <c r="C269" s="8">
        <v>1</v>
      </c>
      <c r="D269" s="8">
        <v>6327.3</v>
      </c>
      <c r="E269" s="16">
        <f t="shared" si="4"/>
        <v>6327.3</v>
      </c>
      <c r="F269" s="8" t="s">
        <v>692</v>
      </c>
      <c r="G269" s="8"/>
      <c r="H269" s="8" t="s">
        <v>685</v>
      </c>
    </row>
    <row r="270" spans="1:8" ht="15" x14ac:dyDescent="0.25">
      <c r="A270" s="8" t="s">
        <v>635</v>
      </c>
      <c r="B270" s="140" t="s">
        <v>666</v>
      </c>
      <c r="C270" s="8">
        <v>50</v>
      </c>
      <c r="D270" s="8">
        <v>124.43</v>
      </c>
      <c r="E270" s="16">
        <f t="shared" si="4"/>
        <v>6221.5</v>
      </c>
      <c r="F270" s="8" t="s">
        <v>692</v>
      </c>
      <c r="G270" s="8"/>
      <c r="H270" s="8" t="s">
        <v>685</v>
      </c>
    </row>
    <row r="271" spans="1:8" ht="15" x14ac:dyDescent="0.25">
      <c r="A271" s="76" t="s">
        <v>636</v>
      </c>
      <c r="B271" s="76"/>
      <c r="C271" s="8"/>
      <c r="D271" s="8"/>
      <c r="E271" s="16">
        <f t="shared" si="4"/>
        <v>0</v>
      </c>
      <c r="F271" s="8"/>
      <c r="G271" s="8"/>
      <c r="H271" s="8"/>
    </row>
    <row r="272" spans="1:8" ht="15" x14ac:dyDescent="0.25">
      <c r="A272" s="8" t="s">
        <v>637</v>
      </c>
      <c r="B272" s="140" t="s">
        <v>667</v>
      </c>
      <c r="C272" s="8">
        <v>5</v>
      </c>
      <c r="D272" s="8">
        <v>149.77000000000001</v>
      </c>
      <c r="E272" s="16">
        <f t="shared" si="4"/>
        <v>748.85</v>
      </c>
      <c r="F272" s="8" t="s">
        <v>696</v>
      </c>
      <c r="G272" s="8" t="s">
        <v>713</v>
      </c>
      <c r="H272" s="8" t="s">
        <v>685</v>
      </c>
    </row>
    <row r="273" spans="1:8" ht="15" x14ac:dyDescent="0.25">
      <c r="A273" s="8" t="s">
        <v>638</v>
      </c>
      <c r="B273" s="140" t="s">
        <v>668</v>
      </c>
      <c r="C273" s="8">
        <v>2</v>
      </c>
      <c r="D273" s="8">
        <v>149.77000000000001</v>
      </c>
      <c r="E273" s="16">
        <f t="shared" si="4"/>
        <v>299.54000000000002</v>
      </c>
      <c r="F273" s="8" t="s">
        <v>696</v>
      </c>
      <c r="G273" s="8" t="s">
        <v>713</v>
      </c>
      <c r="H273" s="8" t="s">
        <v>685</v>
      </c>
    </row>
    <row r="274" spans="1:8" ht="15" x14ac:dyDescent="0.25">
      <c r="A274" s="8" t="s">
        <v>639</v>
      </c>
      <c r="B274" s="140" t="s">
        <v>669</v>
      </c>
      <c r="C274" s="8">
        <v>200</v>
      </c>
      <c r="D274" s="8">
        <v>149.77000000000001</v>
      </c>
      <c r="E274" s="16">
        <f t="shared" si="4"/>
        <v>29954.000000000004</v>
      </c>
      <c r="F274" s="8" t="s">
        <v>696</v>
      </c>
      <c r="G274" s="8" t="s">
        <v>713</v>
      </c>
      <c r="H274" s="8" t="s">
        <v>685</v>
      </c>
    </row>
    <row r="275" spans="1:8" ht="15" x14ac:dyDescent="0.25">
      <c r="A275" s="8" t="s">
        <v>640</v>
      </c>
      <c r="B275" s="140" t="s">
        <v>670</v>
      </c>
      <c r="C275" s="8">
        <v>200</v>
      </c>
      <c r="D275" s="8">
        <v>149.77000000000001</v>
      </c>
      <c r="E275" s="16">
        <f t="shared" si="4"/>
        <v>29954.000000000004</v>
      </c>
      <c r="F275" s="8" t="s">
        <v>696</v>
      </c>
      <c r="G275" s="8" t="s">
        <v>713</v>
      </c>
      <c r="H275" s="8" t="s">
        <v>685</v>
      </c>
    </row>
    <row r="276" spans="1:8" ht="15" x14ac:dyDescent="0.25">
      <c r="A276" s="8" t="s">
        <v>641</v>
      </c>
      <c r="B276" s="140" t="s">
        <v>671</v>
      </c>
      <c r="C276" s="8">
        <v>1300</v>
      </c>
      <c r="D276" s="8">
        <v>5.51</v>
      </c>
      <c r="E276" s="16">
        <f t="shared" si="4"/>
        <v>7163</v>
      </c>
      <c r="F276" s="8" t="s">
        <v>696</v>
      </c>
      <c r="G276" s="8" t="s">
        <v>714</v>
      </c>
      <c r="H276" s="8" t="s">
        <v>685</v>
      </c>
    </row>
    <row r="277" spans="1:8" ht="15" x14ac:dyDescent="0.25">
      <c r="A277" s="8" t="s">
        <v>642</v>
      </c>
      <c r="B277" s="140" t="s">
        <v>672</v>
      </c>
      <c r="C277" s="8">
        <v>1</v>
      </c>
      <c r="D277" s="8">
        <v>49900</v>
      </c>
      <c r="E277" s="16">
        <f t="shared" si="4"/>
        <v>49900</v>
      </c>
      <c r="F277" s="8" t="s">
        <v>697</v>
      </c>
      <c r="G277" s="8"/>
      <c r="H277" s="8" t="s">
        <v>685</v>
      </c>
    </row>
    <row r="278" spans="1:8" ht="15" x14ac:dyDescent="0.25">
      <c r="A278" s="8" t="s">
        <v>643</v>
      </c>
      <c r="B278" s="140" t="s">
        <v>719</v>
      </c>
      <c r="C278" s="8">
        <v>1</v>
      </c>
      <c r="D278" s="8">
        <v>18000</v>
      </c>
      <c r="E278" s="16">
        <f t="shared" si="4"/>
        <v>18000</v>
      </c>
      <c r="F278" s="8" t="s">
        <v>697</v>
      </c>
      <c r="G278" s="8"/>
      <c r="H278" s="8" t="s">
        <v>685</v>
      </c>
    </row>
    <row r="279" spans="1:8" ht="15" x14ac:dyDescent="0.25">
      <c r="A279" s="8" t="s">
        <v>751</v>
      </c>
      <c r="B279" s="140" t="s">
        <v>752</v>
      </c>
      <c r="C279" s="8">
        <v>8</v>
      </c>
      <c r="D279" s="14">
        <v>4435.9799999999996</v>
      </c>
      <c r="E279" s="16">
        <f t="shared" si="4"/>
        <v>35487.839999999997</v>
      </c>
      <c r="F279" s="8" t="s">
        <v>692</v>
      </c>
      <c r="G279" s="8"/>
      <c r="H279" s="8" t="s">
        <v>685</v>
      </c>
    </row>
    <row r="280" spans="1:8" ht="15" x14ac:dyDescent="0.25">
      <c r="A280" s="8" t="s">
        <v>754</v>
      </c>
      <c r="B280" s="140" t="s">
        <v>753</v>
      </c>
      <c r="C280" s="8"/>
      <c r="D280" s="14">
        <v>4954.63</v>
      </c>
      <c r="E280" s="16">
        <f t="shared" si="4"/>
        <v>0</v>
      </c>
      <c r="F280" s="8" t="s">
        <v>692</v>
      </c>
      <c r="G280" s="8"/>
      <c r="H280" s="8"/>
    </row>
    <row r="281" spans="1:8" ht="15" x14ac:dyDescent="0.25">
      <c r="A281" s="14" t="s">
        <v>92</v>
      </c>
      <c r="B281" s="140" t="s">
        <v>755</v>
      </c>
      <c r="C281" s="8">
        <v>1</v>
      </c>
      <c r="D281" s="14">
        <v>495.95</v>
      </c>
      <c r="E281" s="16">
        <f t="shared" si="4"/>
        <v>495.95</v>
      </c>
      <c r="F281" s="8" t="s">
        <v>692</v>
      </c>
      <c r="G281" s="8"/>
      <c r="H281" s="8"/>
    </row>
    <row r="282" spans="1:8" ht="15" x14ac:dyDescent="0.25">
      <c r="A282" s="14" t="s">
        <v>757</v>
      </c>
      <c r="B282" s="140" t="s">
        <v>756</v>
      </c>
      <c r="C282" s="8"/>
      <c r="D282" s="14">
        <v>1033.5</v>
      </c>
      <c r="E282" s="16"/>
      <c r="F282" s="8" t="s">
        <v>692</v>
      </c>
      <c r="G282" s="8"/>
      <c r="H282" s="8"/>
    </row>
    <row r="283" spans="1:8" ht="15" x14ac:dyDescent="0.25">
      <c r="A283" s="14"/>
      <c r="B283" s="140"/>
      <c r="C283" s="15"/>
      <c r="D283" s="8"/>
      <c r="E283" s="16"/>
      <c r="F283" s="8"/>
      <c r="G283" s="8"/>
      <c r="H283" s="8" t="s">
        <v>683</v>
      </c>
    </row>
    <row r="284" spans="1:8" x14ac:dyDescent="0.25">
      <c r="A284" s="8" t="s">
        <v>230</v>
      </c>
      <c r="B284" s="8"/>
      <c r="C284" s="8"/>
      <c r="D284" s="142">
        <f>SUM(D5:D283)</f>
        <v>559842.54999999993</v>
      </c>
      <c r="E284" s="8">
        <f>SUM(E5:E283)</f>
        <v>7070785.0599999977</v>
      </c>
      <c r="F284" s="8"/>
      <c r="G284" s="8"/>
      <c r="H284" s="8"/>
    </row>
  </sheetData>
  <phoneticPr fontId="17" type="noConversion"/>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C98CE-5DF8-4CF3-825A-602357A01C2C}">
  <dimension ref="A1:G308"/>
  <sheetViews>
    <sheetView topLeftCell="A13" zoomScaleNormal="100" workbookViewId="0">
      <selection activeCell="E14" sqref="E14:E305"/>
    </sheetView>
  </sheetViews>
  <sheetFormatPr baseColWidth="10" defaultRowHeight="13.2" x14ac:dyDescent="0.25"/>
  <cols>
    <col min="1" max="1" width="40.44140625" customWidth="1"/>
    <col min="2" max="2" width="6.44140625" customWidth="1"/>
    <col min="3" max="3" width="9.5546875" customWidth="1"/>
    <col min="4" max="4" width="9.21875" customWidth="1"/>
    <col min="5" max="5" width="8" customWidth="1"/>
  </cols>
  <sheetData>
    <row r="1" spans="1:7" ht="17.399999999999999" x14ac:dyDescent="0.3">
      <c r="A1" s="55" t="s">
        <v>16</v>
      </c>
      <c r="B1" s="55"/>
      <c r="C1" s="10"/>
      <c r="D1" s="10"/>
      <c r="E1" s="52"/>
      <c r="F1" s="52"/>
      <c r="G1" s="52"/>
    </row>
    <row r="2" spans="1:7" ht="17.399999999999999" x14ac:dyDescent="0.3">
      <c r="A2" s="55" t="s">
        <v>19</v>
      </c>
      <c r="B2" s="55"/>
      <c r="C2" s="10"/>
      <c r="D2" s="10"/>
      <c r="E2" s="4"/>
      <c r="F2" s="4"/>
      <c r="G2" s="4"/>
    </row>
    <row r="3" spans="1:7" ht="17.399999999999999" x14ac:dyDescent="0.3">
      <c r="A3" s="55" t="s">
        <v>241</v>
      </c>
      <c r="B3" s="55"/>
      <c r="C3" s="10"/>
      <c r="D3" s="10"/>
      <c r="E3" s="6"/>
      <c r="F3" s="6"/>
      <c r="G3" s="6"/>
    </row>
    <row r="4" spans="1:7" ht="17.399999999999999" x14ac:dyDescent="0.3">
      <c r="A4" s="55" t="s">
        <v>369</v>
      </c>
      <c r="B4" s="55"/>
      <c r="C4" s="10"/>
      <c r="D4" s="10"/>
      <c r="E4" s="7"/>
      <c r="F4" s="6"/>
      <c r="G4" s="6"/>
    </row>
    <row r="5" spans="1:7" ht="17.399999999999999" x14ac:dyDescent="0.3">
      <c r="A5" s="55"/>
      <c r="B5" s="55"/>
      <c r="C5" s="10"/>
      <c r="D5" s="10"/>
      <c r="E5" s="7"/>
      <c r="F5" s="6"/>
      <c r="G5" s="6"/>
    </row>
    <row r="6" spans="1:7" ht="17.399999999999999" x14ac:dyDescent="0.3">
      <c r="A6" s="54" t="s">
        <v>32</v>
      </c>
      <c r="B6" s="54"/>
      <c r="C6" s="24"/>
      <c r="D6" s="24"/>
      <c r="E6" s="58"/>
      <c r="F6" s="6"/>
      <c r="G6" s="6"/>
    </row>
    <row r="7" spans="1:7" ht="17.399999999999999" x14ac:dyDescent="0.3">
      <c r="A7" s="57" t="s">
        <v>33</v>
      </c>
      <c r="B7" s="59"/>
      <c r="C7" s="60"/>
      <c r="D7" s="60"/>
      <c r="E7" s="61"/>
      <c r="F7" s="6"/>
      <c r="G7" s="6"/>
    </row>
    <row r="8" spans="1:7" ht="17.399999999999999" x14ac:dyDescent="0.3">
      <c r="A8" s="62" t="s">
        <v>31</v>
      </c>
      <c r="B8" s="63"/>
      <c r="C8" s="64"/>
      <c r="D8" s="64"/>
      <c r="E8" s="65"/>
      <c r="F8" s="6"/>
      <c r="G8" s="6"/>
    </row>
    <row r="9" spans="1:7" ht="17.399999999999999" x14ac:dyDescent="0.3">
      <c r="A9" s="53"/>
      <c r="B9" s="66"/>
      <c r="C9" s="67"/>
      <c r="D9" s="67"/>
      <c r="E9" s="68"/>
      <c r="F9" s="6"/>
      <c r="G9" s="6"/>
    </row>
    <row r="10" spans="1:7" ht="17.399999999999999" x14ac:dyDescent="0.3">
      <c r="A10" s="97" t="s">
        <v>323</v>
      </c>
      <c r="B10" s="98"/>
      <c r="C10" s="99"/>
      <c r="D10" s="99"/>
      <c r="E10" s="100"/>
      <c r="F10" s="6"/>
      <c r="G10" s="6"/>
    </row>
    <row r="11" spans="1:7" ht="17.399999999999999" x14ac:dyDescent="0.3">
      <c r="A11" s="122" t="s">
        <v>258</v>
      </c>
      <c r="B11" s="123"/>
      <c r="C11" s="124"/>
      <c r="D11" s="124"/>
      <c r="E11" s="125"/>
      <c r="F11" s="6"/>
      <c r="G11" s="6"/>
    </row>
    <row r="12" spans="1:7" ht="17.399999999999999" x14ac:dyDescent="0.3">
      <c r="A12" s="101"/>
      <c r="B12" s="102"/>
      <c r="C12" s="103"/>
      <c r="D12" s="103"/>
      <c r="E12" s="104"/>
      <c r="F12" s="6"/>
      <c r="G12" s="6"/>
    </row>
    <row r="13" spans="1:7" ht="15" x14ac:dyDescent="0.25">
      <c r="A13" s="4" t="s">
        <v>242</v>
      </c>
      <c r="B13" s="56"/>
      <c r="C13" s="4"/>
      <c r="D13" s="4"/>
      <c r="E13" s="6"/>
      <c r="F13" s="6"/>
      <c r="G13" s="6"/>
    </row>
    <row r="14" spans="1:7" ht="17.399999999999999" x14ac:dyDescent="0.3">
      <c r="A14" s="78" t="s">
        <v>0</v>
      </c>
      <c r="B14" s="79" t="s">
        <v>12</v>
      </c>
      <c r="C14" s="80" t="s">
        <v>17</v>
      </c>
      <c r="D14" s="79" t="s">
        <v>34</v>
      </c>
      <c r="E14" s="80" t="s">
        <v>257</v>
      </c>
      <c r="F14" s="6"/>
      <c r="G14" s="6"/>
    </row>
    <row r="15" spans="1:7" ht="17.399999999999999" x14ac:dyDescent="0.3">
      <c r="A15" s="69" t="s">
        <v>36</v>
      </c>
      <c r="B15" s="69"/>
      <c r="C15" s="70"/>
      <c r="D15" s="72"/>
      <c r="E15" s="70"/>
      <c r="F15" s="6"/>
      <c r="G15" s="6"/>
    </row>
    <row r="16" spans="1:7" ht="17.399999999999999" x14ac:dyDescent="0.3">
      <c r="A16" s="14" t="s">
        <v>37</v>
      </c>
      <c r="B16" s="15" t="s">
        <v>8</v>
      </c>
      <c r="C16" s="16">
        <v>4300</v>
      </c>
      <c r="D16" s="29">
        <v>5300</v>
      </c>
      <c r="E16" s="13">
        <v>4050</v>
      </c>
      <c r="F16" s="6"/>
      <c r="G16" s="6"/>
    </row>
    <row r="17" spans="1:7" ht="17.399999999999999" x14ac:dyDescent="0.3">
      <c r="A17" s="14" t="s">
        <v>357</v>
      </c>
      <c r="B17" s="15" t="s">
        <v>8</v>
      </c>
      <c r="C17" s="16">
        <v>3350</v>
      </c>
      <c r="D17" s="29">
        <v>4050</v>
      </c>
      <c r="E17" s="13">
        <v>3110</v>
      </c>
      <c r="F17" s="6"/>
      <c r="G17" s="6"/>
    </row>
    <row r="18" spans="1:7" ht="17.399999999999999" x14ac:dyDescent="0.3">
      <c r="A18" s="14" t="s">
        <v>350</v>
      </c>
      <c r="B18" s="15" t="s">
        <v>8</v>
      </c>
      <c r="C18" s="16">
        <v>15700</v>
      </c>
      <c r="D18" s="29">
        <v>19140</v>
      </c>
      <c r="E18" s="13">
        <v>14720</v>
      </c>
      <c r="F18" s="6"/>
      <c r="G18" s="6"/>
    </row>
    <row r="19" spans="1:7" ht="17.399999999999999" x14ac:dyDescent="0.3">
      <c r="A19" s="14" t="s">
        <v>358</v>
      </c>
      <c r="B19" s="15" t="s">
        <v>8</v>
      </c>
      <c r="C19" s="16">
        <v>11000</v>
      </c>
      <c r="D19" s="29">
        <v>13400</v>
      </c>
      <c r="E19" s="13">
        <v>10300</v>
      </c>
      <c r="F19" s="6"/>
      <c r="G19" s="6"/>
    </row>
    <row r="20" spans="1:7" ht="17.399999999999999" x14ac:dyDescent="0.3">
      <c r="A20" s="14" t="s">
        <v>360</v>
      </c>
      <c r="B20" s="15" t="s">
        <v>8</v>
      </c>
      <c r="C20" s="16">
        <v>10800</v>
      </c>
      <c r="D20" s="29">
        <v>13150</v>
      </c>
      <c r="E20" s="13">
        <v>10100</v>
      </c>
      <c r="F20" s="6"/>
      <c r="G20" s="6"/>
    </row>
    <row r="21" spans="1:7" ht="17.399999999999999" x14ac:dyDescent="0.3">
      <c r="A21" s="14" t="s">
        <v>39</v>
      </c>
      <c r="B21" s="15" t="s">
        <v>8</v>
      </c>
      <c r="C21" s="16">
        <v>12400</v>
      </c>
      <c r="D21" s="29">
        <v>15000</v>
      </c>
      <c r="E21" s="13">
        <v>11600</v>
      </c>
      <c r="F21" s="6"/>
      <c r="G21" s="6"/>
    </row>
    <row r="22" spans="1:7" ht="17.399999999999999" x14ac:dyDescent="0.3">
      <c r="A22" s="14" t="s">
        <v>40</v>
      </c>
      <c r="B22" s="15" t="s">
        <v>8</v>
      </c>
      <c r="C22" s="16">
        <v>7100</v>
      </c>
      <c r="D22" s="29">
        <v>8700</v>
      </c>
      <c r="E22" s="13">
        <v>6700</v>
      </c>
      <c r="F22" s="6"/>
      <c r="G22" s="6"/>
    </row>
    <row r="23" spans="1:7" ht="17.399999999999999" x14ac:dyDescent="0.3">
      <c r="A23" s="14" t="s">
        <v>41</v>
      </c>
      <c r="B23" s="15" t="s">
        <v>8</v>
      </c>
      <c r="C23" s="16">
        <v>13500</v>
      </c>
      <c r="D23" s="29">
        <v>16500</v>
      </c>
      <c r="E23" s="13">
        <v>12700</v>
      </c>
      <c r="F23" s="6"/>
      <c r="G23" s="6"/>
    </row>
    <row r="24" spans="1:7" ht="17.399999999999999" x14ac:dyDescent="0.3">
      <c r="A24" s="14" t="s">
        <v>362</v>
      </c>
      <c r="B24" s="15" t="s">
        <v>8</v>
      </c>
      <c r="C24" s="16">
        <v>6220</v>
      </c>
      <c r="D24" s="29">
        <v>7580</v>
      </c>
      <c r="E24" s="13">
        <v>5830</v>
      </c>
      <c r="F24" s="6"/>
      <c r="G24" s="6"/>
    </row>
    <row r="25" spans="1:7" ht="17.399999999999999" x14ac:dyDescent="0.3">
      <c r="A25" s="14" t="s">
        <v>363</v>
      </c>
      <c r="B25" s="15" t="s">
        <v>8</v>
      </c>
      <c r="C25" s="16">
        <v>11540</v>
      </c>
      <c r="D25" s="29">
        <v>14100</v>
      </c>
      <c r="E25" s="13">
        <v>10800</v>
      </c>
      <c r="F25" s="6"/>
      <c r="G25" s="6"/>
    </row>
    <row r="26" spans="1:7" ht="17.399999999999999" x14ac:dyDescent="0.3">
      <c r="A26" s="14" t="s">
        <v>44</v>
      </c>
      <c r="B26" s="15" t="s">
        <v>8</v>
      </c>
      <c r="C26" s="16"/>
      <c r="D26" s="29"/>
      <c r="E26" s="13"/>
      <c r="F26" s="6"/>
      <c r="G26" s="6"/>
    </row>
    <row r="27" spans="1:7" ht="17.399999999999999" x14ac:dyDescent="0.3">
      <c r="A27" s="14" t="s">
        <v>45</v>
      </c>
      <c r="B27" s="15" t="s">
        <v>8</v>
      </c>
      <c r="C27" s="16">
        <v>16610</v>
      </c>
      <c r="D27" s="29">
        <v>20240</v>
      </c>
      <c r="E27" s="13">
        <v>15570</v>
      </c>
      <c r="F27" s="6"/>
      <c r="G27" s="6"/>
    </row>
    <row r="28" spans="1:7" ht="17.399999999999999" x14ac:dyDescent="0.3">
      <c r="A28" s="73" t="s">
        <v>46</v>
      </c>
      <c r="B28" s="74"/>
      <c r="C28" s="75"/>
      <c r="D28" s="72"/>
      <c r="E28" s="70"/>
      <c r="F28" s="6"/>
      <c r="G28" s="6"/>
    </row>
    <row r="29" spans="1:7" ht="17.399999999999999" x14ac:dyDescent="0.3">
      <c r="A29" s="14" t="s">
        <v>372</v>
      </c>
      <c r="B29" s="15">
        <v>1</v>
      </c>
      <c r="C29" s="16">
        <v>1350</v>
      </c>
      <c r="D29" s="29">
        <v>1650</v>
      </c>
      <c r="E29" s="13">
        <v>1270</v>
      </c>
      <c r="F29" s="6"/>
      <c r="G29" s="6"/>
    </row>
    <row r="30" spans="1:7" ht="17.399999999999999" x14ac:dyDescent="0.3">
      <c r="A30" s="14" t="s">
        <v>337</v>
      </c>
      <c r="B30" s="15">
        <v>1</v>
      </c>
      <c r="C30" s="16">
        <v>1100</v>
      </c>
      <c r="D30" s="29">
        <v>1350</v>
      </c>
      <c r="E30" s="13">
        <v>1040</v>
      </c>
      <c r="F30" s="6"/>
      <c r="G30" s="6"/>
    </row>
    <row r="31" spans="1:7" ht="17.399999999999999" x14ac:dyDescent="0.3">
      <c r="A31" s="14" t="s">
        <v>235</v>
      </c>
      <c r="B31" s="15">
        <v>1</v>
      </c>
      <c r="C31" s="16">
        <v>1700</v>
      </c>
      <c r="D31" s="29">
        <v>2080</v>
      </c>
      <c r="E31" s="13">
        <v>1600</v>
      </c>
      <c r="F31" s="6"/>
      <c r="G31" s="6"/>
    </row>
    <row r="32" spans="1:7" ht="17.399999999999999" x14ac:dyDescent="0.3">
      <c r="A32" s="14" t="s">
        <v>342</v>
      </c>
      <c r="B32" s="15">
        <v>1</v>
      </c>
      <c r="C32" s="16">
        <v>1550</v>
      </c>
      <c r="D32" s="29">
        <v>1900</v>
      </c>
      <c r="E32" s="13">
        <v>1460</v>
      </c>
      <c r="F32" s="6"/>
      <c r="G32" s="6"/>
    </row>
    <row r="33" spans="1:7" ht="17.399999999999999" x14ac:dyDescent="0.3">
      <c r="A33" s="14" t="s">
        <v>260</v>
      </c>
      <c r="B33" s="15">
        <v>1</v>
      </c>
      <c r="C33" s="16">
        <v>1870</v>
      </c>
      <c r="D33" s="29">
        <v>2280</v>
      </c>
      <c r="E33" s="13">
        <v>1760</v>
      </c>
      <c r="F33" s="6"/>
      <c r="G33" s="6"/>
    </row>
    <row r="34" spans="1:7" ht="17.399999999999999" x14ac:dyDescent="0.3">
      <c r="A34" s="14" t="s">
        <v>343</v>
      </c>
      <c r="B34" s="15">
        <v>1</v>
      </c>
      <c r="C34" s="16">
        <v>1600</v>
      </c>
      <c r="D34" s="29">
        <v>1950</v>
      </c>
      <c r="E34" s="13">
        <v>1500</v>
      </c>
      <c r="F34" s="6"/>
      <c r="G34" s="6"/>
    </row>
    <row r="35" spans="1:7" ht="17.399999999999999" x14ac:dyDescent="0.3">
      <c r="A35" s="14" t="s">
        <v>351</v>
      </c>
      <c r="B35" s="15">
        <v>1</v>
      </c>
      <c r="C35" s="16">
        <v>2400</v>
      </c>
      <c r="D35" s="29">
        <v>2930</v>
      </c>
      <c r="E35" s="13">
        <v>2250</v>
      </c>
      <c r="F35" s="6"/>
      <c r="G35" s="6"/>
    </row>
    <row r="36" spans="1:7" ht="17.399999999999999" x14ac:dyDescent="0.3">
      <c r="A36" s="14" t="s">
        <v>340</v>
      </c>
      <c r="B36" s="15">
        <v>1</v>
      </c>
      <c r="C36" s="16">
        <v>1540</v>
      </c>
      <c r="D36" s="29">
        <v>1870</v>
      </c>
      <c r="E36" s="13">
        <v>1440</v>
      </c>
      <c r="F36" s="6"/>
      <c r="G36" s="6"/>
    </row>
    <row r="37" spans="1:7" ht="17.399999999999999" x14ac:dyDescent="0.3">
      <c r="A37" s="14" t="s">
        <v>232</v>
      </c>
      <c r="B37" s="15">
        <v>1</v>
      </c>
      <c r="C37" s="16">
        <v>2950</v>
      </c>
      <c r="D37" s="29">
        <v>3600</v>
      </c>
      <c r="E37" s="13">
        <v>2770</v>
      </c>
      <c r="F37" s="6"/>
      <c r="G37" s="6"/>
    </row>
    <row r="38" spans="1:7" ht="17.399999999999999" x14ac:dyDescent="0.3">
      <c r="A38" s="14" t="s">
        <v>346</v>
      </c>
      <c r="B38" s="15">
        <v>1</v>
      </c>
      <c r="C38" s="16">
        <v>1760</v>
      </c>
      <c r="D38" s="29">
        <v>2150</v>
      </c>
      <c r="E38" s="13">
        <v>1650</v>
      </c>
      <c r="F38" s="6"/>
      <c r="G38" s="6"/>
    </row>
    <row r="39" spans="1:7" ht="17.399999999999999" x14ac:dyDescent="0.3">
      <c r="A39" s="14" t="s">
        <v>338</v>
      </c>
      <c r="B39" s="15">
        <v>1</v>
      </c>
      <c r="C39" s="17">
        <v>2220</v>
      </c>
      <c r="D39" s="29">
        <v>2700</v>
      </c>
      <c r="E39" s="13">
        <v>2080</v>
      </c>
      <c r="F39" s="6"/>
      <c r="G39" s="6"/>
    </row>
    <row r="40" spans="1:7" ht="17.399999999999999" x14ac:dyDescent="0.3">
      <c r="A40" s="14" t="s">
        <v>291</v>
      </c>
      <c r="B40" s="15">
        <v>1</v>
      </c>
      <c r="C40" s="17">
        <v>5640</v>
      </c>
      <c r="D40" s="29">
        <v>6880</v>
      </c>
      <c r="E40" s="13">
        <v>5290</v>
      </c>
      <c r="F40" s="6"/>
      <c r="G40" s="6"/>
    </row>
    <row r="41" spans="1:7" ht="17.399999999999999" x14ac:dyDescent="0.3">
      <c r="A41" s="82" t="s">
        <v>54</v>
      </c>
      <c r="B41" s="74"/>
      <c r="C41" s="83"/>
      <c r="D41" s="72"/>
      <c r="E41" s="70"/>
      <c r="F41" s="6"/>
      <c r="G41" s="6"/>
    </row>
    <row r="42" spans="1:7" ht="17.399999999999999" x14ac:dyDescent="0.3">
      <c r="A42" s="14" t="s">
        <v>361</v>
      </c>
      <c r="B42" s="15" t="s">
        <v>8</v>
      </c>
      <c r="C42" s="17">
        <v>7900</v>
      </c>
      <c r="D42" s="29">
        <v>9600</v>
      </c>
      <c r="E42" s="13">
        <v>7400</v>
      </c>
      <c r="F42" s="6"/>
      <c r="G42" s="6"/>
    </row>
    <row r="43" spans="1:7" ht="17.399999999999999" x14ac:dyDescent="0.3">
      <c r="A43" s="14" t="s">
        <v>263</v>
      </c>
      <c r="B43" s="15" t="s">
        <v>8</v>
      </c>
      <c r="C43" s="16">
        <v>10000</v>
      </c>
      <c r="D43" s="29">
        <v>12200</v>
      </c>
      <c r="E43" s="13">
        <v>9400</v>
      </c>
      <c r="F43" s="6"/>
      <c r="G43" s="6"/>
    </row>
    <row r="44" spans="1:7" ht="17.399999999999999" x14ac:dyDescent="0.3">
      <c r="A44" s="14" t="s">
        <v>347</v>
      </c>
      <c r="B44" s="15" t="s">
        <v>8</v>
      </c>
      <c r="C44" s="16">
        <v>15140</v>
      </c>
      <c r="D44" s="29">
        <v>18450</v>
      </c>
      <c r="E44" s="13">
        <v>14190</v>
      </c>
      <c r="F44" s="6"/>
      <c r="G44" s="6"/>
    </row>
    <row r="45" spans="1:7" ht="17.399999999999999" x14ac:dyDescent="0.3">
      <c r="A45" s="14" t="s">
        <v>352</v>
      </c>
      <c r="B45" s="15" t="s">
        <v>8</v>
      </c>
      <c r="C45" s="16">
        <v>8900</v>
      </c>
      <c r="D45" s="29">
        <v>10800</v>
      </c>
      <c r="E45" s="13">
        <v>8350</v>
      </c>
      <c r="F45" s="6"/>
      <c r="G45" s="6"/>
    </row>
    <row r="46" spans="1:7" ht="17.399999999999999" x14ac:dyDescent="0.3">
      <c r="A46" s="14" t="s">
        <v>364</v>
      </c>
      <c r="B46" s="15" t="s">
        <v>8</v>
      </c>
      <c r="C46" s="16">
        <v>5550</v>
      </c>
      <c r="D46" s="29">
        <v>6780</v>
      </c>
      <c r="E46" s="13">
        <v>5200</v>
      </c>
      <c r="F46" s="6"/>
      <c r="G46" s="6"/>
    </row>
    <row r="47" spans="1:7" ht="17.399999999999999" x14ac:dyDescent="0.3">
      <c r="A47" s="14" t="s">
        <v>55</v>
      </c>
      <c r="B47" s="15">
        <v>1</v>
      </c>
      <c r="C47" s="16">
        <v>2000</v>
      </c>
      <c r="D47" s="29">
        <v>2600</v>
      </c>
      <c r="E47" s="13">
        <v>1900</v>
      </c>
      <c r="F47" s="6"/>
      <c r="G47" s="6"/>
    </row>
    <row r="48" spans="1:7" ht="17.399999999999999" x14ac:dyDescent="0.3">
      <c r="A48" s="82" t="s">
        <v>56</v>
      </c>
      <c r="B48" s="75"/>
      <c r="C48" s="75"/>
      <c r="D48" s="72"/>
      <c r="E48" s="70"/>
      <c r="F48" s="6"/>
      <c r="G48" s="6"/>
    </row>
    <row r="49" spans="1:7" ht="17.399999999999999" x14ac:dyDescent="0.3">
      <c r="A49" s="14" t="s">
        <v>57</v>
      </c>
      <c r="B49" s="14">
        <v>1</v>
      </c>
      <c r="C49" s="16">
        <v>1100</v>
      </c>
      <c r="D49" s="29">
        <v>1330</v>
      </c>
      <c r="E49" s="13">
        <v>1030</v>
      </c>
      <c r="F49" s="6"/>
      <c r="G49" s="6"/>
    </row>
    <row r="50" spans="1:7" ht="17.399999999999999" x14ac:dyDescent="0.3">
      <c r="A50" s="14" t="s">
        <v>366</v>
      </c>
      <c r="B50" s="15">
        <v>1</v>
      </c>
      <c r="C50" s="16">
        <v>960</v>
      </c>
      <c r="D50" s="29">
        <v>1170</v>
      </c>
      <c r="E50" s="13">
        <v>900</v>
      </c>
      <c r="F50" s="6"/>
      <c r="G50" s="6"/>
    </row>
    <row r="51" spans="1:7" ht="17.399999999999999" x14ac:dyDescent="0.3">
      <c r="A51" s="14" t="s">
        <v>58</v>
      </c>
      <c r="B51" s="15">
        <v>1</v>
      </c>
      <c r="C51" s="16">
        <v>1120</v>
      </c>
      <c r="D51" s="29">
        <v>1370</v>
      </c>
      <c r="E51" s="13">
        <v>1050</v>
      </c>
      <c r="F51" s="6"/>
      <c r="G51" s="6"/>
    </row>
    <row r="52" spans="1:7" ht="17.399999999999999" x14ac:dyDescent="0.3">
      <c r="A52" s="14" t="s">
        <v>60</v>
      </c>
      <c r="B52" s="15">
        <v>1</v>
      </c>
      <c r="C52" s="16">
        <v>1050</v>
      </c>
      <c r="D52" s="29">
        <v>1280</v>
      </c>
      <c r="E52" s="13">
        <v>990</v>
      </c>
      <c r="F52" s="6"/>
      <c r="G52" s="6"/>
    </row>
    <row r="53" spans="1:7" ht="17.399999999999999" x14ac:dyDescent="0.3">
      <c r="A53" s="14" t="s">
        <v>367</v>
      </c>
      <c r="B53" s="15">
        <v>1</v>
      </c>
      <c r="C53" s="16">
        <v>970</v>
      </c>
      <c r="D53" s="29">
        <v>1180</v>
      </c>
      <c r="E53" s="13">
        <v>910</v>
      </c>
      <c r="F53" s="6"/>
      <c r="G53" s="6"/>
    </row>
    <row r="54" spans="1:7" ht="17.399999999999999" x14ac:dyDescent="0.3">
      <c r="A54" s="14" t="s">
        <v>62</v>
      </c>
      <c r="B54" s="15">
        <v>1</v>
      </c>
      <c r="C54" s="18">
        <v>160</v>
      </c>
      <c r="D54" s="29">
        <v>200</v>
      </c>
      <c r="E54" s="13">
        <v>150</v>
      </c>
      <c r="F54" s="6"/>
      <c r="G54" s="6"/>
    </row>
    <row r="55" spans="1:7" ht="17.399999999999999" x14ac:dyDescent="0.3">
      <c r="A55" s="14" t="s">
        <v>63</v>
      </c>
      <c r="B55" s="15">
        <v>1</v>
      </c>
      <c r="C55" s="16">
        <v>720</v>
      </c>
      <c r="D55" s="29">
        <v>880</v>
      </c>
      <c r="E55" s="13">
        <v>680</v>
      </c>
      <c r="F55" s="6"/>
      <c r="G55" s="6"/>
    </row>
    <row r="56" spans="1:7" ht="17.399999999999999" x14ac:dyDescent="0.3">
      <c r="A56" s="14" t="s">
        <v>64</v>
      </c>
      <c r="B56" s="15">
        <v>1</v>
      </c>
      <c r="C56" s="16">
        <v>11100</v>
      </c>
      <c r="D56" s="29">
        <v>13470</v>
      </c>
      <c r="E56" s="13">
        <v>10360</v>
      </c>
      <c r="F56" s="6"/>
      <c r="G56" s="6"/>
    </row>
    <row r="57" spans="1:7" ht="17.399999999999999" x14ac:dyDescent="0.3">
      <c r="A57" s="14" t="s">
        <v>65</v>
      </c>
      <c r="B57" s="15">
        <v>1</v>
      </c>
      <c r="C57" s="16">
        <v>2040</v>
      </c>
      <c r="D57" s="29">
        <v>2480</v>
      </c>
      <c r="E57" s="13">
        <v>1910</v>
      </c>
      <c r="F57" s="6"/>
      <c r="G57" s="6"/>
    </row>
    <row r="58" spans="1:7" ht="17.399999999999999" x14ac:dyDescent="0.3">
      <c r="A58" s="14" t="s">
        <v>319</v>
      </c>
      <c r="B58" s="15">
        <v>1</v>
      </c>
      <c r="C58" s="16"/>
      <c r="D58" s="29"/>
      <c r="E58" s="13"/>
      <c r="F58" s="6"/>
      <c r="G58" s="6"/>
    </row>
    <row r="59" spans="1:7" ht="17.399999999999999" x14ac:dyDescent="0.3">
      <c r="A59" s="14" t="s">
        <v>318</v>
      </c>
      <c r="B59" s="15">
        <v>1</v>
      </c>
      <c r="C59" s="16"/>
      <c r="D59" s="29"/>
      <c r="E59" s="13"/>
      <c r="F59" s="6"/>
      <c r="G59" s="6"/>
    </row>
    <row r="60" spans="1:7" ht="17.399999999999999" x14ac:dyDescent="0.3">
      <c r="A60" s="14" t="s">
        <v>66</v>
      </c>
      <c r="B60" s="15">
        <v>1</v>
      </c>
      <c r="C60" s="16">
        <v>12900</v>
      </c>
      <c r="D60" s="29">
        <v>15640</v>
      </c>
      <c r="E60" s="13">
        <v>12030</v>
      </c>
      <c r="F60" s="6"/>
      <c r="G60" s="6"/>
    </row>
    <row r="61" spans="1:7" ht="17.399999999999999" x14ac:dyDescent="0.3">
      <c r="A61" s="14" t="s">
        <v>275</v>
      </c>
      <c r="B61" s="15">
        <v>1</v>
      </c>
      <c r="C61" s="16">
        <v>450</v>
      </c>
      <c r="D61" s="29">
        <v>550</v>
      </c>
      <c r="E61" s="13">
        <v>420</v>
      </c>
      <c r="F61" s="6"/>
      <c r="G61" s="6"/>
    </row>
    <row r="62" spans="1:7" ht="17.399999999999999" x14ac:dyDescent="0.3">
      <c r="A62" s="14" t="s">
        <v>276</v>
      </c>
      <c r="B62" s="15">
        <v>1</v>
      </c>
      <c r="C62" s="16">
        <v>2500</v>
      </c>
      <c r="D62" s="29">
        <v>3040</v>
      </c>
      <c r="E62" s="13">
        <v>2340</v>
      </c>
      <c r="F62" s="6"/>
      <c r="G62" s="6"/>
    </row>
    <row r="63" spans="1:7" ht="17.399999999999999" x14ac:dyDescent="0.3">
      <c r="A63" s="14" t="s">
        <v>69</v>
      </c>
      <c r="B63" s="15">
        <v>1</v>
      </c>
      <c r="C63" s="16">
        <v>2780</v>
      </c>
      <c r="D63" s="29">
        <v>3400</v>
      </c>
      <c r="E63" s="13">
        <v>2610</v>
      </c>
      <c r="F63" s="6"/>
      <c r="G63" s="6"/>
    </row>
    <row r="64" spans="1:7" ht="17.399999999999999" x14ac:dyDescent="0.3">
      <c r="A64" s="82" t="s">
        <v>71</v>
      </c>
      <c r="B64" s="74"/>
      <c r="C64" s="75"/>
      <c r="D64" s="72"/>
      <c r="E64" s="70"/>
    </row>
    <row r="65" spans="1:7" ht="17.399999999999999" x14ac:dyDescent="0.3">
      <c r="A65" s="14" t="s">
        <v>335</v>
      </c>
      <c r="B65" s="15">
        <v>50</v>
      </c>
      <c r="C65" s="16"/>
      <c r="D65" s="29"/>
      <c r="E65" s="13"/>
    </row>
    <row r="66" spans="1:7" ht="17.399999999999999" x14ac:dyDescent="0.3">
      <c r="A66" s="14" t="s">
        <v>73</v>
      </c>
      <c r="B66" s="15">
        <v>50</v>
      </c>
      <c r="C66" s="16">
        <v>9500</v>
      </c>
      <c r="D66" s="29">
        <v>11530</v>
      </c>
      <c r="E66" s="13">
        <v>8870</v>
      </c>
      <c r="F66" s="6"/>
      <c r="G66" s="6"/>
    </row>
    <row r="67" spans="1:7" ht="17.399999999999999" x14ac:dyDescent="0.3">
      <c r="A67" s="14" t="s">
        <v>74</v>
      </c>
      <c r="B67" s="15">
        <v>1</v>
      </c>
      <c r="C67" s="16">
        <v>2080</v>
      </c>
      <c r="D67" s="29">
        <v>2530</v>
      </c>
      <c r="E67" s="13">
        <v>1950</v>
      </c>
      <c r="F67" s="6"/>
      <c r="G67" s="6"/>
    </row>
    <row r="68" spans="1:7" ht="17.399999999999999" x14ac:dyDescent="0.3">
      <c r="A68" s="82" t="s">
        <v>75</v>
      </c>
      <c r="B68" s="74"/>
      <c r="C68" s="75"/>
      <c r="D68" s="72"/>
      <c r="E68" s="70"/>
      <c r="F68" s="6"/>
      <c r="G68" s="6"/>
    </row>
    <row r="69" spans="1:7" ht="17.399999999999999" x14ac:dyDescent="0.3">
      <c r="A69" s="14" t="s">
        <v>76</v>
      </c>
      <c r="B69" s="15">
        <v>100</v>
      </c>
      <c r="C69" s="16">
        <v>1150</v>
      </c>
      <c r="D69" s="29">
        <v>1370</v>
      </c>
      <c r="E69" s="13">
        <v>1060</v>
      </c>
      <c r="F69" s="6"/>
      <c r="G69" s="6"/>
    </row>
    <row r="70" spans="1:7" ht="17.399999999999999" x14ac:dyDescent="0.3">
      <c r="A70" s="14" t="s">
        <v>77</v>
      </c>
      <c r="B70" s="15">
        <v>100</v>
      </c>
      <c r="C70" s="16">
        <v>1350</v>
      </c>
      <c r="D70" s="29">
        <v>1600</v>
      </c>
      <c r="E70" s="13">
        <v>1250</v>
      </c>
      <c r="F70" s="6"/>
      <c r="G70" s="6"/>
    </row>
    <row r="71" spans="1:7" ht="17.399999999999999" x14ac:dyDescent="0.3">
      <c r="A71" s="14" t="s">
        <v>78</v>
      </c>
      <c r="B71" s="15">
        <v>100</v>
      </c>
      <c r="C71" s="16">
        <v>1450</v>
      </c>
      <c r="D71" s="29">
        <v>1760</v>
      </c>
      <c r="E71" s="13">
        <v>1360</v>
      </c>
      <c r="F71" s="6"/>
      <c r="G71" s="6"/>
    </row>
    <row r="72" spans="1:7" ht="17.399999999999999" x14ac:dyDescent="0.3">
      <c r="A72" s="14" t="s">
        <v>79</v>
      </c>
      <c r="B72" s="15">
        <v>100</v>
      </c>
      <c r="C72" s="16">
        <v>2150</v>
      </c>
      <c r="D72" s="29">
        <v>2620</v>
      </c>
      <c r="E72" s="13">
        <v>2000</v>
      </c>
      <c r="F72" s="6"/>
      <c r="G72" s="6"/>
    </row>
    <row r="73" spans="1:7" ht="17.399999999999999" x14ac:dyDescent="0.3">
      <c r="A73" s="14" t="s">
        <v>80</v>
      </c>
      <c r="B73" s="15">
        <v>100</v>
      </c>
      <c r="C73" s="16">
        <v>3070</v>
      </c>
      <c r="D73" s="29">
        <v>3740</v>
      </c>
      <c r="E73" s="13">
        <v>2880</v>
      </c>
      <c r="F73" s="6"/>
      <c r="G73" s="6"/>
    </row>
    <row r="74" spans="1:7" ht="17.399999999999999" x14ac:dyDescent="0.3">
      <c r="A74" s="14" t="s">
        <v>81</v>
      </c>
      <c r="B74" s="15">
        <v>100</v>
      </c>
      <c r="C74" s="16">
        <v>4100</v>
      </c>
      <c r="D74" s="29">
        <v>4990</v>
      </c>
      <c r="E74" s="13">
        <v>3850</v>
      </c>
      <c r="F74" s="6"/>
      <c r="G74" s="6"/>
    </row>
    <row r="75" spans="1:7" ht="17.399999999999999" x14ac:dyDescent="0.3">
      <c r="A75" s="14" t="s">
        <v>82</v>
      </c>
      <c r="B75" s="15">
        <v>100</v>
      </c>
      <c r="C75" s="16">
        <v>5230</v>
      </c>
      <c r="D75" s="29">
        <v>6380</v>
      </c>
      <c r="E75" s="13">
        <v>4900</v>
      </c>
      <c r="F75" s="6"/>
      <c r="G75" s="6"/>
    </row>
    <row r="76" spans="1:7" ht="17.399999999999999" x14ac:dyDescent="0.3">
      <c r="A76" s="14" t="s">
        <v>83</v>
      </c>
      <c r="B76" s="15">
        <v>100</v>
      </c>
      <c r="C76" s="16">
        <v>4200</v>
      </c>
      <c r="D76" s="29">
        <v>5150</v>
      </c>
      <c r="E76" s="13">
        <v>3960</v>
      </c>
      <c r="F76" s="6"/>
      <c r="G76" s="6"/>
    </row>
    <row r="77" spans="1:7" ht="17.399999999999999" x14ac:dyDescent="0.3">
      <c r="A77" s="82" t="s">
        <v>84</v>
      </c>
      <c r="B77" s="74"/>
      <c r="C77" s="75"/>
      <c r="D77" s="72"/>
      <c r="E77" s="70"/>
      <c r="F77" s="6"/>
      <c r="G77" s="6"/>
    </row>
    <row r="78" spans="1:7" ht="17.399999999999999" x14ac:dyDescent="0.3">
      <c r="A78" s="14" t="s">
        <v>85</v>
      </c>
      <c r="B78" s="15">
        <v>1</v>
      </c>
      <c r="C78" s="19">
        <v>5670</v>
      </c>
      <c r="D78" s="29">
        <v>6900</v>
      </c>
      <c r="E78" s="13">
        <v>5300</v>
      </c>
      <c r="F78" s="6"/>
      <c r="G78" s="6"/>
    </row>
    <row r="79" spans="1:7" ht="17.399999999999999" x14ac:dyDescent="0.3">
      <c r="A79" s="14" t="s">
        <v>86</v>
      </c>
      <c r="B79" s="15">
        <v>1</v>
      </c>
      <c r="C79" s="19">
        <v>7930</v>
      </c>
      <c r="D79" s="29">
        <v>9660</v>
      </c>
      <c r="E79" s="13">
        <v>7440</v>
      </c>
      <c r="F79" s="6"/>
      <c r="G79" s="6"/>
    </row>
    <row r="80" spans="1:7" ht="17.399999999999999" x14ac:dyDescent="0.3">
      <c r="A80" s="14" t="s">
        <v>87</v>
      </c>
      <c r="B80" s="15">
        <v>1</v>
      </c>
      <c r="C80" s="16"/>
      <c r="D80" s="29"/>
      <c r="E80" s="13"/>
      <c r="F80" s="6"/>
      <c r="G80" s="6"/>
    </row>
    <row r="81" spans="1:7" ht="17.399999999999999" x14ac:dyDescent="0.3">
      <c r="A81" s="14" t="s">
        <v>88</v>
      </c>
      <c r="B81" s="15">
        <v>1</v>
      </c>
      <c r="C81" s="16"/>
      <c r="D81" s="29"/>
      <c r="E81" s="13"/>
      <c r="F81" s="6"/>
      <c r="G81" s="6"/>
    </row>
    <row r="82" spans="1:7" ht="17.399999999999999" x14ac:dyDescent="0.3">
      <c r="A82" s="14" t="s">
        <v>89</v>
      </c>
      <c r="B82" s="15">
        <v>1</v>
      </c>
      <c r="C82" s="16"/>
      <c r="D82" s="29"/>
      <c r="E82" s="13"/>
      <c r="F82" s="6"/>
      <c r="G82" s="6"/>
    </row>
    <row r="83" spans="1:7" ht="17.399999999999999" x14ac:dyDescent="0.3">
      <c r="A83" s="14" t="s">
        <v>90</v>
      </c>
      <c r="B83" s="15">
        <v>1</v>
      </c>
      <c r="C83" s="16"/>
      <c r="D83" s="29"/>
      <c r="E83" s="13"/>
      <c r="F83" s="6"/>
      <c r="G83" s="6"/>
    </row>
    <row r="84" spans="1:7" ht="17.399999999999999" x14ac:dyDescent="0.3">
      <c r="A84" s="82" t="s">
        <v>91</v>
      </c>
      <c r="B84" s="74"/>
      <c r="C84" s="75"/>
      <c r="D84" s="72"/>
      <c r="E84" s="70"/>
      <c r="F84" s="6"/>
      <c r="G84" s="6"/>
    </row>
    <row r="85" spans="1:7" ht="17.399999999999999" x14ac:dyDescent="0.3">
      <c r="A85" s="14" t="s">
        <v>92</v>
      </c>
      <c r="B85" s="15">
        <v>100</v>
      </c>
      <c r="C85" s="16">
        <v>880</v>
      </c>
      <c r="D85" s="29">
        <v>1070</v>
      </c>
      <c r="E85" s="13">
        <v>830</v>
      </c>
      <c r="F85" s="6"/>
      <c r="G85" s="6"/>
    </row>
    <row r="86" spans="1:7" ht="17.399999999999999" x14ac:dyDescent="0.3">
      <c r="A86" s="14" t="s">
        <v>93</v>
      </c>
      <c r="B86" s="15">
        <v>100</v>
      </c>
      <c r="C86" s="16">
        <v>1360</v>
      </c>
      <c r="D86" s="29">
        <v>1660</v>
      </c>
      <c r="E86" s="13">
        <v>1280</v>
      </c>
      <c r="F86" s="6"/>
      <c r="G86" s="6"/>
    </row>
    <row r="87" spans="1:7" ht="17.399999999999999" x14ac:dyDescent="0.3">
      <c r="A87" s="14" t="s">
        <v>94</v>
      </c>
      <c r="B87" s="15">
        <v>100</v>
      </c>
      <c r="C87" s="16">
        <v>940</v>
      </c>
      <c r="D87" s="29">
        <v>1150</v>
      </c>
      <c r="E87" s="13">
        <v>880</v>
      </c>
      <c r="F87" s="6"/>
      <c r="G87" s="6"/>
    </row>
    <row r="88" spans="1:7" ht="17.399999999999999" x14ac:dyDescent="0.3">
      <c r="A88" s="14" t="s">
        <v>3</v>
      </c>
      <c r="B88" s="15">
        <v>100</v>
      </c>
      <c r="C88" s="16">
        <v>1270</v>
      </c>
      <c r="D88" s="29">
        <v>1540</v>
      </c>
      <c r="E88" s="13">
        <v>1190</v>
      </c>
      <c r="F88" s="6"/>
      <c r="G88" s="6"/>
    </row>
    <row r="89" spans="1:7" ht="17.399999999999999" x14ac:dyDescent="0.3">
      <c r="A89" s="14" t="s">
        <v>9</v>
      </c>
      <c r="B89" s="15">
        <v>100</v>
      </c>
      <c r="C89" s="16">
        <v>1610</v>
      </c>
      <c r="D89" s="29">
        <v>1960</v>
      </c>
      <c r="E89" s="13">
        <v>1510</v>
      </c>
      <c r="F89" s="6"/>
      <c r="G89" s="6"/>
    </row>
    <row r="90" spans="1:7" ht="17.399999999999999" x14ac:dyDescent="0.3">
      <c r="A90" s="14" t="s">
        <v>15</v>
      </c>
      <c r="B90" s="15">
        <v>100</v>
      </c>
      <c r="C90" s="16">
        <v>2300</v>
      </c>
      <c r="D90" s="29">
        <v>2810</v>
      </c>
      <c r="E90" s="13">
        <v>2160</v>
      </c>
      <c r="F90" s="6"/>
      <c r="G90" s="6"/>
    </row>
    <row r="91" spans="1:7" ht="17.399999999999999" x14ac:dyDescent="0.3">
      <c r="A91" s="14" t="s">
        <v>18</v>
      </c>
      <c r="B91" s="15">
        <v>100</v>
      </c>
      <c r="C91" s="16">
        <v>3860</v>
      </c>
      <c r="D91" s="29">
        <v>4710</v>
      </c>
      <c r="E91" s="13">
        <v>3620</v>
      </c>
      <c r="F91" s="6"/>
      <c r="G91" s="6"/>
    </row>
    <row r="92" spans="1:7" ht="17.399999999999999" x14ac:dyDescent="0.3">
      <c r="A92" s="14" t="s">
        <v>1</v>
      </c>
      <c r="B92" s="15">
        <v>100</v>
      </c>
      <c r="C92" s="16">
        <v>3360</v>
      </c>
      <c r="D92" s="29">
        <v>4090</v>
      </c>
      <c r="E92" s="13">
        <v>3150</v>
      </c>
      <c r="F92" s="6"/>
      <c r="G92" s="6"/>
    </row>
    <row r="93" spans="1:7" ht="17.399999999999999" x14ac:dyDescent="0.3">
      <c r="A93" s="14" t="s">
        <v>268</v>
      </c>
      <c r="B93" s="15">
        <v>100</v>
      </c>
      <c r="C93" s="16"/>
      <c r="D93" s="29"/>
      <c r="E93" s="13"/>
      <c r="F93" s="6"/>
      <c r="G93" s="6"/>
    </row>
    <row r="94" spans="1:7" ht="17.399999999999999" x14ac:dyDescent="0.3">
      <c r="A94" s="14" t="s">
        <v>7</v>
      </c>
      <c r="B94" s="15">
        <v>100</v>
      </c>
      <c r="C94" s="16">
        <v>4800</v>
      </c>
      <c r="D94" s="29">
        <v>5850</v>
      </c>
      <c r="E94" s="13">
        <v>4500</v>
      </c>
      <c r="F94" s="6"/>
      <c r="G94" s="6"/>
    </row>
    <row r="95" spans="1:7" ht="17.399999999999999" x14ac:dyDescent="0.3">
      <c r="A95" s="14" t="s">
        <v>2</v>
      </c>
      <c r="B95" s="15">
        <v>100</v>
      </c>
      <c r="C95" s="16"/>
      <c r="D95" s="29"/>
      <c r="E95" s="13"/>
      <c r="F95" s="6"/>
      <c r="G95" s="6"/>
    </row>
    <row r="96" spans="1:7" ht="17.399999999999999" x14ac:dyDescent="0.3">
      <c r="A96" s="14" t="s">
        <v>5</v>
      </c>
      <c r="B96" s="15">
        <v>100</v>
      </c>
      <c r="C96" s="16">
        <v>10130</v>
      </c>
      <c r="D96" s="29">
        <v>12340</v>
      </c>
      <c r="E96" s="13">
        <v>9500</v>
      </c>
      <c r="F96" s="6"/>
      <c r="G96" s="6"/>
    </row>
    <row r="97" spans="1:7" ht="17.399999999999999" x14ac:dyDescent="0.3">
      <c r="A97" s="14" t="s">
        <v>4</v>
      </c>
      <c r="B97" s="15">
        <v>100</v>
      </c>
      <c r="C97" s="16">
        <v>12800</v>
      </c>
      <c r="D97" s="29">
        <v>15600</v>
      </c>
      <c r="E97" s="13">
        <v>12000</v>
      </c>
      <c r="F97" s="6"/>
      <c r="G97" s="6"/>
    </row>
    <row r="98" spans="1:7" ht="17.399999999999999" x14ac:dyDescent="0.3">
      <c r="A98" s="14" t="s">
        <v>95</v>
      </c>
      <c r="B98" s="15">
        <v>100</v>
      </c>
      <c r="C98" s="16">
        <v>12730</v>
      </c>
      <c r="D98" s="29">
        <v>15520</v>
      </c>
      <c r="E98" s="13">
        <v>11940</v>
      </c>
      <c r="F98" s="6"/>
      <c r="G98" s="6"/>
    </row>
    <row r="99" spans="1:7" ht="17.399999999999999" x14ac:dyDescent="0.3">
      <c r="A99" s="14" t="s">
        <v>353</v>
      </c>
      <c r="B99" s="15">
        <v>100</v>
      </c>
      <c r="C99" s="16"/>
      <c r="D99" s="29"/>
      <c r="E99" s="13"/>
      <c r="F99" s="6"/>
      <c r="G99" s="6"/>
    </row>
    <row r="100" spans="1:7" ht="17.399999999999999" x14ac:dyDescent="0.3">
      <c r="A100" s="82" t="s">
        <v>279</v>
      </c>
      <c r="B100" s="74"/>
      <c r="C100" s="75"/>
      <c r="D100" s="72"/>
      <c r="E100" s="70"/>
      <c r="F100" s="6"/>
      <c r="G100" s="6"/>
    </row>
    <row r="101" spans="1:7" ht="17.399999999999999" x14ac:dyDescent="0.3">
      <c r="A101" s="14" t="s">
        <v>280</v>
      </c>
      <c r="B101" s="15">
        <v>100</v>
      </c>
      <c r="C101" s="16"/>
      <c r="D101" s="29"/>
      <c r="E101" s="13"/>
      <c r="F101" s="6"/>
      <c r="G101" s="6"/>
    </row>
    <row r="102" spans="1:7" ht="17.399999999999999" x14ac:dyDescent="0.3">
      <c r="A102" s="14" t="s">
        <v>286</v>
      </c>
      <c r="B102" s="15">
        <v>100</v>
      </c>
      <c r="C102" s="16"/>
      <c r="D102" s="29"/>
      <c r="E102" s="13"/>
      <c r="F102" s="6"/>
      <c r="G102" s="6"/>
    </row>
    <row r="103" spans="1:7" ht="17.399999999999999" x14ac:dyDescent="0.3">
      <c r="A103" s="14" t="s">
        <v>281</v>
      </c>
      <c r="B103" s="15">
        <v>100</v>
      </c>
      <c r="C103" s="16"/>
      <c r="D103" s="29"/>
      <c r="E103" s="13"/>
      <c r="F103" s="6"/>
      <c r="G103" s="6"/>
    </row>
    <row r="104" spans="1:7" ht="17.399999999999999" x14ac:dyDescent="0.3">
      <c r="A104" s="82" t="s">
        <v>282</v>
      </c>
      <c r="B104" s="74"/>
      <c r="C104" s="75"/>
      <c r="D104" s="72"/>
      <c r="E104" s="70"/>
      <c r="F104" s="6"/>
      <c r="G104" s="6"/>
    </row>
    <row r="105" spans="1:7" ht="17.399999999999999" x14ac:dyDescent="0.3">
      <c r="A105" s="14" t="s">
        <v>286</v>
      </c>
      <c r="B105" s="15">
        <v>100</v>
      </c>
      <c r="C105" s="16">
        <v>5010</v>
      </c>
      <c r="D105" s="29">
        <v>6100</v>
      </c>
      <c r="E105" s="13">
        <v>4700</v>
      </c>
      <c r="F105" s="6"/>
      <c r="G105" s="6"/>
    </row>
    <row r="106" spans="1:7" ht="17.399999999999999" x14ac:dyDescent="0.3">
      <c r="A106" s="14" t="s">
        <v>290</v>
      </c>
      <c r="B106" s="15">
        <v>100</v>
      </c>
      <c r="C106" s="16">
        <v>7200</v>
      </c>
      <c r="D106" s="29">
        <v>8780</v>
      </c>
      <c r="E106" s="13">
        <v>6750</v>
      </c>
      <c r="F106" s="6"/>
      <c r="G106" s="6"/>
    </row>
    <row r="107" spans="1:7" ht="17.399999999999999" x14ac:dyDescent="0.3">
      <c r="A107" s="14" t="s">
        <v>281</v>
      </c>
      <c r="B107" s="15">
        <v>100</v>
      </c>
      <c r="C107" s="16">
        <v>6320</v>
      </c>
      <c r="D107" s="29">
        <v>7700</v>
      </c>
      <c r="E107" s="13">
        <v>5920</v>
      </c>
      <c r="F107" s="6"/>
      <c r="G107" s="6"/>
    </row>
    <row r="108" spans="1:7" ht="17.399999999999999" x14ac:dyDescent="0.3">
      <c r="A108" s="82" t="s">
        <v>97</v>
      </c>
      <c r="B108" s="74"/>
      <c r="C108" s="75"/>
      <c r="D108" s="72"/>
      <c r="E108" s="70"/>
      <c r="F108" s="6"/>
      <c r="G108" s="6"/>
    </row>
    <row r="109" spans="1:7" ht="17.399999999999999" x14ac:dyDescent="0.3">
      <c r="A109" s="14" t="s">
        <v>98</v>
      </c>
      <c r="B109" s="15">
        <v>100</v>
      </c>
      <c r="C109" s="16">
        <v>5810</v>
      </c>
      <c r="D109" s="29">
        <v>7070</v>
      </c>
      <c r="E109" s="13">
        <v>5440</v>
      </c>
      <c r="F109" s="6"/>
      <c r="G109" s="6"/>
    </row>
    <row r="110" spans="1:7" ht="17.399999999999999" x14ac:dyDescent="0.3">
      <c r="A110" s="14" t="s">
        <v>99</v>
      </c>
      <c r="B110" s="15">
        <v>100</v>
      </c>
      <c r="C110" s="16">
        <v>8270</v>
      </c>
      <c r="D110" s="29">
        <v>10070</v>
      </c>
      <c r="E110" s="13">
        <v>7750</v>
      </c>
      <c r="F110" s="6"/>
      <c r="G110" s="6"/>
    </row>
    <row r="111" spans="1:7" ht="17.399999999999999" x14ac:dyDescent="0.3">
      <c r="A111" s="14" t="s">
        <v>100</v>
      </c>
      <c r="B111" s="15">
        <v>100</v>
      </c>
      <c r="C111" s="16">
        <v>10540</v>
      </c>
      <c r="D111" s="29">
        <v>12840</v>
      </c>
      <c r="E111" s="13">
        <v>9880</v>
      </c>
      <c r="F111" s="6"/>
      <c r="G111" s="6"/>
    </row>
    <row r="112" spans="1:7" ht="17.399999999999999" x14ac:dyDescent="0.3">
      <c r="A112" s="14" t="s">
        <v>101</v>
      </c>
      <c r="B112" s="15">
        <v>100</v>
      </c>
      <c r="C112" s="16">
        <v>12790</v>
      </c>
      <c r="D112" s="29">
        <v>15590</v>
      </c>
      <c r="E112" s="13">
        <v>11990</v>
      </c>
      <c r="F112" s="6"/>
      <c r="G112" s="6"/>
    </row>
    <row r="113" spans="1:7" ht="17.399999999999999" x14ac:dyDescent="0.3">
      <c r="A113" s="14" t="s">
        <v>102</v>
      </c>
      <c r="B113" s="15">
        <v>100</v>
      </c>
      <c r="C113" s="16">
        <v>20840</v>
      </c>
      <c r="D113" s="29">
        <v>25400</v>
      </c>
      <c r="E113" s="13">
        <v>19540</v>
      </c>
      <c r="F113" s="6"/>
      <c r="G113" s="6"/>
    </row>
    <row r="114" spans="1:7" ht="17.399999999999999" x14ac:dyDescent="0.3">
      <c r="A114" s="14" t="s">
        <v>341</v>
      </c>
      <c r="B114" s="15">
        <v>100</v>
      </c>
      <c r="C114" s="16"/>
      <c r="D114" s="29"/>
      <c r="E114" s="13"/>
      <c r="F114" s="6"/>
      <c r="G114" s="6"/>
    </row>
    <row r="115" spans="1:7" ht="17.399999999999999" x14ac:dyDescent="0.3">
      <c r="A115" s="82" t="s">
        <v>104</v>
      </c>
      <c r="B115" s="75"/>
      <c r="C115" s="75"/>
      <c r="D115" s="72"/>
      <c r="E115" s="70"/>
      <c r="F115" s="6"/>
      <c r="G115" s="6"/>
    </row>
    <row r="116" spans="1:7" ht="17.399999999999999" x14ac:dyDescent="0.3">
      <c r="A116" s="14" t="s">
        <v>105</v>
      </c>
      <c r="B116" s="15">
        <v>1</v>
      </c>
      <c r="C116" s="16">
        <v>790</v>
      </c>
      <c r="D116" s="29">
        <v>960</v>
      </c>
      <c r="E116" s="13">
        <v>740</v>
      </c>
      <c r="F116" s="6"/>
      <c r="G116" s="6"/>
    </row>
    <row r="117" spans="1:7" ht="17.399999999999999" x14ac:dyDescent="0.3">
      <c r="A117" s="14" t="s">
        <v>106</v>
      </c>
      <c r="B117" s="15">
        <v>1</v>
      </c>
      <c r="C117" s="16">
        <v>610</v>
      </c>
      <c r="D117" s="29">
        <v>750</v>
      </c>
      <c r="E117" s="13">
        <v>570</v>
      </c>
      <c r="F117" s="6"/>
      <c r="G117" s="6"/>
    </row>
    <row r="118" spans="1:7" ht="17.399999999999999" x14ac:dyDescent="0.3">
      <c r="A118" s="14" t="s">
        <v>107</v>
      </c>
      <c r="B118" s="15">
        <v>1</v>
      </c>
      <c r="C118" s="16">
        <v>880</v>
      </c>
      <c r="D118" s="29">
        <v>1080</v>
      </c>
      <c r="E118" s="13">
        <v>830</v>
      </c>
      <c r="F118" s="6"/>
      <c r="G118" s="6"/>
    </row>
    <row r="119" spans="1:7" ht="17.399999999999999" x14ac:dyDescent="0.3">
      <c r="A119" s="14" t="s">
        <v>108</v>
      </c>
      <c r="B119" s="15">
        <v>1</v>
      </c>
      <c r="C119" s="16">
        <v>1040</v>
      </c>
      <c r="D119" s="29">
        <v>1270</v>
      </c>
      <c r="E119" s="13">
        <v>980</v>
      </c>
      <c r="F119" s="6"/>
      <c r="G119" s="6"/>
    </row>
    <row r="120" spans="1:7" ht="17.399999999999999" x14ac:dyDescent="0.3">
      <c r="A120" s="14" t="s">
        <v>109</v>
      </c>
      <c r="B120" s="15">
        <v>1</v>
      </c>
      <c r="C120" s="16">
        <v>1360</v>
      </c>
      <c r="D120" s="29">
        <v>1660</v>
      </c>
      <c r="E120" s="13">
        <v>1280</v>
      </c>
      <c r="F120" s="6"/>
      <c r="G120" s="6"/>
    </row>
    <row r="121" spans="1:7" ht="17.399999999999999" x14ac:dyDescent="0.3">
      <c r="A121" s="82" t="s">
        <v>110</v>
      </c>
      <c r="B121" s="74"/>
      <c r="C121" s="75"/>
      <c r="D121" s="72"/>
      <c r="E121" s="70"/>
      <c r="F121" s="6"/>
      <c r="G121" s="6"/>
    </row>
    <row r="122" spans="1:7" ht="17.399999999999999" x14ac:dyDescent="0.3">
      <c r="A122" s="14" t="s">
        <v>111</v>
      </c>
      <c r="B122" s="15">
        <v>100</v>
      </c>
      <c r="C122" s="16">
        <v>2480</v>
      </c>
      <c r="D122" s="29">
        <v>3020</v>
      </c>
      <c r="E122" s="13">
        <v>2320</v>
      </c>
    </row>
    <row r="123" spans="1:7" ht="17.399999999999999" x14ac:dyDescent="0.3">
      <c r="A123" s="14" t="s">
        <v>112</v>
      </c>
      <c r="B123" s="15">
        <v>100</v>
      </c>
      <c r="C123" s="16">
        <v>2860</v>
      </c>
      <c r="D123" s="29">
        <v>3480</v>
      </c>
      <c r="E123" s="13">
        <v>2680</v>
      </c>
      <c r="F123" s="6"/>
      <c r="G123" s="6"/>
    </row>
    <row r="124" spans="1:7" ht="17.399999999999999" x14ac:dyDescent="0.3">
      <c r="A124" s="14" t="s">
        <v>113</v>
      </c>
      <c r="B124" s="15">
        <v>100</v>
      </c>
      <c r="C124" s="16">
        <v>3550</v>
      </c>
      <c r="D124" s="29">
        <v>4350</v>
      </c>
      <c r="E124" s="13">
        <v>3320</v>
      </c>
      <c r="F124" s="6"/>
      <c r="G124" s="6"/>
    </row>
    <row r="125" spans="1:7" ht="17.399999999999999" x14ac:dyDescent="0.3">
      <c r="A125" s="14" t="s">
        <v>114</v>
      </c>
      <c r="B125" s="15">
        <v>100</v>
      </c>
      <c r="C125" s="16">
        <v>4530</v>
      </c>
      <c r="D125" s="29">
        <v>5520</v>
      </c>
      <c r="E125" s="13">
        <v>4250</v>
      </c>
      <c r="F125" s="6"/>
      <c r="G125" s="6"/>
    </row>
    <row r="126" spans="1:7" ht="17.399999999999999" x14ac:dyDescent="0.3">
      <c r="A126" s="14" t="s">
        <v>115</v>
      </c>
      <c r="B126" s="15">
        <v>100</v>
      </c>
      <c r="C126" s="16">
        <v>5560</v>
      </c>
      <c r="D126" s="29">
        <v>6770</v>
      </c>
      <c r="E126" s="13">
        <v>5210</v>
      </c>
      <c r="F126" s="6"/>
      <c r="G126" s="6"/>
    </row>
    <row r="127" spans="1:7" ht="17.399999999999999" x14ac:dyDescent="0.3">
      <c r="A127" s="14" t="s">
        <v>240</v>
      </c>
      <c r="B127" s="15">
        <v>100</v>
      </c>
      <c r="C127" s="16">
        <v>7370</v>
      </c>
      <c r="D127" s="29">
        <v>8980</v>
      </c>
      <c r="E127" s="13">
        <v>6910</v>
      </c>
      <c r="F127" s="6"/>
      <c r="G127" s="6"/>
    </row>
    <row r="128" spans="1:7" ht="17.399999999999999" x14ac:dyDescent="0.3">
      <c r="A128" s="82" t="s">
        <v>116</v>
      </c>
      <c r="B128" s="74"/>
      <c r="C128" s="75"/>
      <c r="D128" s="72"/>
      <c r="E128" s="70"/>
      <c r="F128" s="6"/>
      <c r="G128" s="6"/>
    </row>
    <row r="129" spans="1:7" ht="17.399999999999999" x14ac:dyDescent="0.3">
      <c r="A129" s="14" t="s">
        <v>117</v>
      </c>
      <c r="B129" s="15">
        <v>100</v>
      </c>
      <c r="C129" s="16"/>
      <c r="D129" s="29"/>
      <c r="E129" s="13"/>
      <c r="F129" s="6"/>
      <c r="G129" s="6"/>
    </row>
    <row r="130" spans="1:7" ht="17.399999999999999" x14ac:dyDescent="0.3">
      <c r="A130" s="14" t="s">
        <v>118</v>
      </c>
      <c r="B130" s="15">
        <v>100</v>
      </c>
      <c r="C130" s="16"/>
      <c r="D130" s="29"/>
      <c r="E130" s="13"/>
      <c r="F130" s="6"/>
      <c r="G130" s="6"/>
    </row>
    <row r="131" spans="1:7" ht="17.399999999999999" x14ac:dyDescent="0.3">
      <c r="A131" s="14" t="s">
        <v>119</v>
      </c>
      <c r="B131" s="15">
        <v>100</v>
      </c>
      <c r="C131" s="16"/>
      <c r="D131" s="29"/>
      <c r="E131" s="13"/>
      <c r="F131" s="6"/>
      <c r="G131" s="6"/>
    </row>
    <row r="132" spans="1:7" ht="17.399999999999999" x14ac:dyDescent="0.3">
      <c r="A132" s="14" t="s">
        <v>120</v>
      </c>
      <c r="B132" s="15">
        <v>100</v>
      </c>
      <c r="C132" s="16"/>
      <c r="D132" s="29"/>
      <c r="E132" s="13"/>
      <c r="F132" s="6"/>
      <c r="G132" s="6"/>
    </row>
    <row r="133" spans="1:7" ht="17.399999999999999" x14ac:dyDescent="0.3">
      <c r="A133" s="84" t="s">
        <v>121</v>
      </c>
      <c r="B133" s="74"/>
      <c r="C133" s="75"/>
      <c r="D133" s="72"/>
      <c r="E133" s="70"/>
      <c r="F133" s="6"/>
      <c r="G133" s="6"/>
    </row>
    <row r="134" spans="1:7" ht="17.399999999999999" x14ac:dyDescent="0.3">
      <c r="A134" s="20" t="s">
        <v>118</v>
      </c>
      <c r="B134" s="15">
        <v>1</v>
      </c>
      <c r="C134" s="16"/>
      <c r="D134" s="29"/>
      <c r="E134" s="13"/>
      <c r="F134" s="6"/>
      <c r="G134" s="6"/>
    </row>
    <row r="135" spans="1:7" ht="17.399999999999999" x14ac:dyDescent="0.3">
      <c r="A135" s="14" t="s">
        <v>119</v>
      </c>
      <c r="B135" s="15">
        <v>1</v>
      </c>
      <c r="C135" s="16"/>
      <c r="D135" s="29"/>
      <c r="E135" s="13"/>
      <c r="F135" s="6"/>
      <c r="G135" s="6"/>
    </row>
    <row r="136" spans="1:7" ht="17.399999999999999" x14ac:dyDescent="0.3">
      <c r="A136" s="14" t="s">
        <v>120</v>
      </c>
      <c r="B136" s="15">
        <v>1</v>
      </c>
      <c r="C136" s="16"/>
      <c r="D136" s="29"/>
      <c r="E136" s="13"/>
      <c r="F136" s="6"/>
      <c r="G136" s="6"/>
    </row>
    <row r="137" spans="1:7" ht="17.399999999999999" x14ac:dyDescent="0.3">
      <c r="A137" s="14" t="s">
        <v>122</v>
      </c>
      <c r="B137" s="15">
        <v>1</v>
      </c>
      <c r="C137" s="16"/>
      <c r="D137" s="29"/>
      <c r="E137" s="13"/>
      <c r="F137" s="6"/>
      <c r="G137" s="6"/>
    </row>
    <row r="138" spans="1:7" ht="17.399999999999999" x14ac:dyDescent="0.3">
      <c r="A138" s="14" t="s">
        <v>123</v>
      </c>
      <c r="B138" s="15">
        <v>1</v>
      </c>
      <c r="C138" s="16"/>
      <c r="D138" s="29"/>
      <c r="E138" s="13"/>
      <c r="F138" s="6"/>
      <c r="G138" s="6"/>
    </row>
    <row r="139" spans="1:7" ht="17.399999999999999" x14ac:dyDescent="0.3">
      <c r="A139" s="82" t="s">
        <v>124</v>
      </c>
      <c r="B139" s="74"/>
      <c r="C139" s="75"/>
      <c r="D139" s="72"/>
      <c r="E139" s="70"/>
      <c r="F139" s="6"/>
      <c r="G139" s="6"/>
    </row>
    <row r="140" spans="1:7" ht="17.399999999999999" x14ac:dyDescent="0.3">
      <c r="A140" s="14" t="s">
        <v>125</v>
      </c>
      <c r="B140" s="15">
        <v>100</v>
      </c>
      <c r="C140" s="16">
        <v>17480</v>
      </c>
      <c r="D140" s="29">
        <v>21310</v>
      </c>
      <c r="E140" s="13">
        <v>16390</v>
      </c>
      <c r="F140" s="6"/>
      <c r="G140" s="6"/>
    </row>
    <row r="141" spans="1:7" ht="17.399999999999999" x14ac:dyDescent="0.3">
      <c r="A141" s="14" t="s">
        <v>126</v>
      </c>
      <c r="B141" s="15">
        <v>100</v>
      </c>
      <c r="C141" s="16">
        <v>20000</v>
      </c>
      <c r="D141" s="29">
        <v>24380</v>
      </c>
      <c r="E141" s="13">
        <v>18760</v>
      </c>
      <c r="F141" s="6"/>
      <c r="G141" s="6"/>
    </row>
    <row r="142" spans="1:7" ht="17.399999999999999" x14ac:dyDescent="0.3">
      <c r="A142" s="14" t="s">
        <v>127</v>
      </c>
      <c r="B142" s="15">
        <v>100</v>
      </c>
      <c r="C142" s="16"/>
      <c r="D142" s="29"/>
      <c r="E142" s="13">
        <v>31240</v>
      </c>
      <c r="F142" s="6"/>
      <c r="G142" s="6"/>
    </row>
    <row r="143" spans="1:7" ht="17.399999999999999" x14ac:dyDescent="0.3">
      <c r="A143" s="14" t="s">
        <v>128</v>
      </c>
      <c r="B143" s="15">
        <v>100</v>
      </c>
      <c r="C143" s="16">
        <v>12500</v>
      </c>
      <c r="D143" s="29">
        <v>15240</v>
      </c>
      <c r="E143" s="13">
        <v>11720</v>
      </c>
      <c r="F143" s="6"/>
      <c r="G143" s="6"/>
    </row>
    <row r="144" spans="1:7" ht="17.399999999999999" x14ac:dyDescent="0.3">
      <c r="A144" s="14" t="s">
        <v>277</v>
      </c>
      <c r="B144" s="15">
        <v>100</v>
      </c>
      <c r="C144" s="16"/>
      <c r="D144" s="29"/>
      <c r="E144" s="13"/>
      <c r="F144" s="6"/>
      <c r="G144" s="6"/>
    </row>
    <row r="145" spans="1:7" ht="17.399999999999999" x14ac:dyDescent="0.3">
      <c r="A145" s="14" t="s">
        <v>129</v>
      </c>
      <c r="B145" s="15">
        <v>100</v>
      </c>
      <c r="C145" s="16">
        <v>14230</v>
      </c>
      <c r="D145" s="29">
        <v>17340</v>
      </c>
      <c r="E145" s="13">
        <v>13340</v>
      </c>
      <c r="F145" s="6"/>
      <c r="G145" s="6"/>
    </row>
    <row r="146" spans="1:7" ht="17.399999999999999" x14ac:dyDescent="0.3">
      <c r="A146" s="14" t="s">
        <v>130</v>
      </c>
      <c r="B146" s="15">
        <v>100</v>
      </c>
      <c r="C146" s="16"/>
      <c r="D146" s="29"/>
      <c r="E146" s="13"/>
      <c r="F146" s="6"/>
      <c r="G146" s="6"/>
    </row>
    <row r="147" spans="1:7" ht="17.399999999999999" x14ac:dyDescent="0.3">
      <c r="A147" s="14" t="s">
        <v>131</v>
      </c>
      <c r="B147" s="15">
        <v>100</v>
      </c>
      <c r="C147" s="16">
        <v>2620</v>
      </c>
      <c r="D147" s="29">
        <v>3190</v>
      </c>
      <c r="E147" s="13">
        <v>2460</v>
      </c>
      <c r="F147" s="6"/>
      <c r="G147" s="6"/>
    </row>
    <row r="148" spans="1:7" ht="17.399999999999999" x14ac:dyDescent="0.3">
      <c r="A148" s="108" t="s">
        <v>132</v>
      </c>
      <c r="B148" s="85"/>
      <c r="C148" s="109"/>
      <c r="D148" s="111"/>
      <c r="E148" s="112"/>
      <c r="F148" s="6"/>
      <c r="G148" s="6"/>
    </row>
    <row r="149" spans="1:7" ht="17.399999999999999" x14ac:dyDescent="0.3">
      <c r="A149" s="114" t="s">
        <v>246</v>
      </c>
      <c r="B149" s="105">
        <v>100</v>
      </c>
      <c r="C149" s="121">
        <v>4470</v>
      </c>
      <c r="D149" s="29">
        <v>5450</v>
      </c>
      <c r="E149" s="13">
        <v>4190</v>
      </c>
      <c r="F149" s="6"/>
      <c r="G149" s="6"/>
    </row>
    <row r="150" spans="1:7" ht="17.399999999999999" x14ac:dyDescent="0.3">
      <c r="A150" s="14" t="s">
        <v>133</v>
      </c>
      <c r="B150" s="15">
        <v>100</v>
      </c>
      <c r="C150" s="16">
        <v>1190</v>
      </c>
      <c r="D150" s="29">
        <v>1450</v>
      </c>
      <c r="E150" s="13">
        <v>1100</v>
      </c>
      <c r="F150" s="6"/>
      <c r="G150" s="6"/>
    </row>
    <row r="151" spans="1:7" ht="17.399999999999999" x14ac:dyDescent="0.3">
      <c r="A151" s="14" t="s">
        <v>134</v>
      </c>
      <c r="B151" s="15">
        <v>100</v>
      </c>
      <c r="C151" s="16">
        <v>2090</v>
      </c>
      <c r="D151" s="29">
        <v>2550</v>
      </c>
      <c r="E151" s="13">
        <v>1950</v>
      </c>
      <c r="F151" s="6"/>
      <c r="G151" s="6"/>
    </row>
    <row r="152" spans="1:7" ht="17.399999999999999" x14ac:dyDescent="0.3">
      <c r="A152" s="14" t="s">
        <v>135</v>
      </c>
      <c r="B152" s="15">
        <v>100</v>
      </c>
      <c r="C152" s="16">
        <v>2810</v>
      </c>
      <c r="D152" s="29">
        <v>3440</v>
      </c>
      <c r="E152" s="13">
        <v>2650</v>
      </c>
      <c r="F152" s="6"/>
      <c r="G152" s="6"/>
    </row>
    <row r="153" spans="1:7" ht="17.399999999999999" x14ac:dyDescent="0.3">
      <c r="A153" s="14" t="s">
        <v>136</v>
      </c>
      <c r="B153" s="15">
        <v>100</v>
      </c>
      <c r="C153" s="16">
        <v>3490</v>
      </c>
      <c r="D153" s="29">
        <v>4250</v>
      </c>
      <c r="E153" s="13">
        <v>3270</v>
      </c>
      <c r="F153" s="6"/>
      <c r="G153" s="6"/>
    </row>
    <row r="154" spans="1:7" ht="17.399999999999999" x14ac:dyDescent="0.3">
      <c r="A154" s="14" t="s">
        <v>137</v>
      </c>
      <c r="B154" s="15">
        <v>100</v>
      </c>
      <c r="C154" s="16">
        <v>4570</v>
      </c>
      <c r="D154" s="29">
        <v>5560</v>
      </c>
      <c r="E154" s="13">
        <v>4280</v>
      </c>
      <c r="F154" s="6"/>
      <c r="G154" s="6"/>
    </row>
    <row r="155" spans="1:7" ht="17.399999999999999" x14ac:dyDescent="0.3">
      <c r="A155" s="14" t="s">
        <v>138</v>
      </c>
      <c r="B155" s="15">
        <v>100</v>
      </c>
      <c r="C155" s="16">
        <v>4740</v>
      </c>
      <c r="D155" s="29">
        <v>5780</v>
      </c>
      <c r="E155" s="13">
        <v>4450</v>
      </c>
      <c r="F155" s="6"/>
      <c r="G155" s="6"/>
    </row>
    <row r="156" spans="1:7" ht="17.399999999999999" x14ac:dyDescent="0.3">
      <c r="A156" s="115" t="s">
        <v>139</v>
      </c>
      <c r="B156" s="74"/>
      <c r="C156" s="116"/>
      <c r="D156" s="118"/>
      <c r="E156" s="119"/>
      <c r="F156" s="6"/>
      <c r="G156" s="6"/>
    </row>
    <row r="157" spans="1:7" ht="17.399999999999999" x14ac:dyDescent="0.3">
      <c r="A157" s="14" t="s">
        <v>140</v>
      </c>
      <c r="B157" s="15" t="s">
        <v>141</v>
      </c>
      <c r="C157" s="16">
        <v>2350</v>
      </c>
      <c r="D157" s="29">
        <v>2840</v>
      </c>
      <c r="E157" s="13">
        <v>2200</v>
      </c>
      <c r="F157" s="6"/>
      <c r="G157" s="6"/>
    </row>
    <row r="158" spans="1:7" ht="17.399999999999999" x14ac:dyDescent="0.3">
      <c r="A158" s="2" t="s">
        <v>247</v>
      </c>
      <c r="B158" s="15" t="s">
        <v>141</v>
      </c>
      <c r="C158" s="16"/>
      <c r="D158" s="29"/>
      <c r="E158" s="13"/>
      <c r="F158" s="6"/>
      <c r="G158" s="6"/>
    </row>
    <row r="159" spans="1:7" ht="17.399999999999999" x14ac:dyDescent="0.3">
      <c r="A159" s="2" t="s">
        <v>283</v>
      </c>
      <c r="B159" s="15" t="s">
        <v>141</v>
      </c>
      <c r="C159" s="16">
        <v>2520</v>
      </c>
      <c r="D159" s="29">
        <v>3070</v>
      </c>
      <c r="E159" s="13">
        <v>2360</v>
      </c>
      <c r="F159" s="6"/>
      <c r="G159" s="6"/>
    </row>
    <row r="160" spans="1:7" ht="17.399999999999999" x14ac:dyDescent="0.3">
      <c r="A160" s="14" t="s">
        <v>239</v>
      </c>
      <c r="B160" s="15" t="s">
        <v>141</v>
      </c>
      <c r="C160" s="16">
        <v>4790</v>
      </c>
      <c r="D160" s="29">
        <v>5830</v>
      </c>
      <c r="E160" s="13">
        <v>4490</v>
      </c>
      <c r="F160" s="6"/>
      <c r="G160" s="6"/>
    </row>
    <row r="161" spans="1:7" ht="17.399999999999999" x14ac:dyDescent="0.3">
      <c r="A161" s="14" t="s">
        <v>142</v>
      </c>
      <c r="B161" s="15" t="s">
        <v>141</v>
      </c>
      <c r="C161" s="16">
        <v>2180</v>
      </c>
      <c r="D161" s="29">
        <v>2660</v>
      </c>
      <c r="E161" s="13">
        <v>2050</v>
      </c>
      <c r="F161" s="6"/>
      <c r="G161" s="6"/>
    </row>
    <row r="162" spans="1:7" ht="17.399999999999999" x14ac:dyDescent="0.3">
      <c r="A162" s="82" t="s">
        <v>147</v>
      </c>
      <c r="B162" s="74"/>
      <c r="C162" s="75"/>
      <c r="D162" s="72"/>
      <c r="E162" s="70"/>
      <c r="F162" s="6"/>
      <c r="G162" s="6"/>
    </row>
    <row r="163" spans="1:7" ht="17.399999999999999" x14ac:dyDescent="0.3">
      <c r="A163" s="14" t="s">
        <v>10</v>
      </c>
      <c r="B163" s="15">
        <v>100</v>
      </c>
      <c r="C163" s="16">
        <v>84</v>
      </c>
      <c r="D163" s="29">
        <v>110</v>
      </c>
      <c r="E163" s="13">
        <v>80</v>
      </c>
      <c r="F163" s="6"/>
      <c r="G163" s="6"/>
    </row>
    <row r="164" spans="1:7" ht="17.399999999999999" x14ac:dyDescent="0.3">
      <c r="A164" s="14" t="s">
        <v>11</v>
      </c>
      <c r="B164" s="15">
        <v>100</v>
      </c>
      <c r="C164" s="16">
        <v>120</v>
      </c>
      <c r="D164" s="29">
        <v>150</v>
      </c>
      <c r="E164" s="13">
        <v>115</v>
      </c>
      <c r="F164" s="6"/>
      <c r="G164" s="6"/>
    </row>
    <row r="165" spans="1:7" ht="17.399999999999999" x14ac:dyDescent="0.3">
      <c r="A165" s="14" t="s">
        <v>143</v>
      </c>
      <c r="B165" s="15">
        <v>100</v>
      </c>
      <c r="C165" s="16">
        <v>84</v>
      </c>
      <c r="D165" s="29">
        <v>110</v>
      </c>
      <c r="E165" s="13">
        <v>80</v>
      </c>
      <c r="F165" s="6"/>
      <c r="G165" s="6"/>
    </row>
    <row r="166" spans="1:7" ht="17.399999999999999" x14ac:dyDescent="0.3">
      <c r="A166" s="14" t="s">
        <v>144</v>
      </c>
      <c r="B166" s="15">
        <v>100</v>
      </c>
      <c r="C166" s="16">
        <v>60</v>
      </c>
      <c r="D166" s="29">
        <v>75</v>
      </c>
      <c r="E166" s="13">
        <v>57</v>
      </c>
      <c r="F166" s="6"/>
      <c r="G166" s="6"/>
    </row>
    <row r="167" spans="1:7" ht="17.399999999999999" x14ac:dyDescent="0.3">
      <c r="A167" s="21" t="s">
        <v>145</v>
      </c>
      <c r="B167" s="22">
        <v>100</v>
      </c>
      <c r="C167" s="16">
        <v>190</v>
      </c>
      <c r="D167" s="29">
        <v>230</v>
      </c>
      <c r="E167" s="13">
        <v>170</v>
      </c>
      <c r="F167" s="6"/>
      <c r="G167" s="6"/>
    </row>
    <row r="168" spans="1:7" ht="17.399999999999999" x14ac:dyDescent="0.3">
      <c r="A168" s="21" t="s">
        <v>243</v>
      </c>
      <c r="B168" s="22">
        <v>100</v>
      </c>
      <c r="C168" s="16">
        <v>240</v>
      </c>
      <c r="D168" s="29">
        <v>290</v>
      </c>
      <c r="E168" s="13">
        <v>230</v>
      </c>
      <c r="F168" s="6"/>
      <c r="G168" s="6"/>
    </row>
    <row r="169" spans="1:7" ht="17.399999999999999" x14ac:dyDescent="0.3">
      <c r="A169" s="14" t="s">
        <v>146</v>
      </c>
      <c r="B169" s="15">
        <v>100</v>
      </c>
      <c r="C169" s="16">
        <v>260</v>
      </c>
      <c r="D169" s="29">
        <v>310</v>
      </c>
      <c r="E169" s="13">
        <v>240</v>
      </c>
      <c r="F169" s="6"/>
      <c r="G169" s="6"/>
    </row>
    <row r="170" spans="1:7" ht="17.399999999999999" x14ac:dyDescent="0.3">
      <c r="A170" s="82" t="s">
        <v>148</v>
      </c>
      <c r="B170" s="74"/>
      <c r="C170" s="75"/>
      <c r="D170" s="72"/>
      <c r="E170" s="70"/>
      <c r="F170" s="6"/>
      <c r="G170" s="6"/>
    </row>
    <row r="171" spans="1:7" ht="17.399999999999999" x14ac:dyDescent="0.3">
      <c r="A171" s="14" t="s">
        <v>149</v>
      </c>
      <c r="B171" s="15">
        <v>100</v>
      </c>
      <c r="C171" s="16">
        <v>7350</v>
      </c>
      <c r="D171" s="29">
        <v>8960</v>
      </c>
      <c r="E171" s="13">
        <v>6890</v>
      </c>
      <c r="F171" s="6"/>
      <c r="G171" s="6"/>
    </row>
    <row r="172" spans="1:7" ht="17.399999999999999" x14ac:dyDescent="0.3">
      <c r="A172" s="14" t="s">
        <v>150</v>
      </c>
      <c r="B172" s="15">
        <v>100</v>
      </c>
      <c r="C172" s="16">
        <v>8250</v>
      </c>
      <c r="D172" s="29">
        <v>10100</v>
      </c>
      <c r="E172" s="13">
        <v>7750</v>
      </c>
      <c r="F172" s="6"/>
      <c r="G172" s="6"/>
    </row>
    <row r="173" spans="1:7" ht="17.399999999999999" x14ac:dyDescent="0.3">
      <c r="A173" s="14" t="s">
        <v>151</v>
      </c>
      <c r="B173" s="15">
        <v>100</v>
      </c>
      <c r="C173" s="16">
        <v>11100</v>
      </c>
      <c r="D173" s="29">
        <v>13550</v>
      </c>
      <c r="E173" s="13">
        <v>10400</v>
      </c>
      <c r="F173" s="6"/>
      <c r="G173" s="6"/>
    </row>
    <row r="174" spans="1:7" ht="17.399999999999999" x14ac:dyDescent="0.3">
      <c r="A174" s="14" t="s">
        <v>152</v>
      </c>
      <c r="B174" s="15">
        <v>100</v>
      </c>
      <c r="C174" s="16">
        <v>14780</v>
      </c>
      <c r="D174" s="29">
        <v>18000</v>
      </c>
      <c r="E174" s="13">
        <v>13860</v>
      </c>
      <c r="F174" s="6"/>
      <c r="G174" s="6"/>
    </row>
    <row r="175" spans="1:7" ht="17.399999999999999" x14ac:dyDescent="0.3">
      <c r="A175" s="14" t="s">
        <v>153</v>
      </c>
      <c r="B175" s="15">
        <v>100</v>
      </c>
      <c r="C175" s="16">
        <v>29100</v>
      </c>
      <c r="D175" s="29">
        <v>35450</v>
      </c>
      <c r="E175" s="13">
        <v>27270</v>
      </c>
      <c r="F175" s="6"/>
      <c r="G175" s="6"/>
    </row>
    <row r="176" spans="1:7" ht="17.399999999999999" x14ac:dyDescent="0.3">
      <c r="A176" s="14" t="s">
        <v>154</v>
      </c>
      <c r="B176" s="15">
        <v>100</v>
      </c>
      <c r="C176" s="16">
        <v>11100</v>
      </c>
      <c r="D176" s="29">
        <v>13500</v>
      </c>
      <c r="E176" s="13">
        <v>10380</v>
      </c>
      <c r="F176" s="6"/>
      <c r="G176" s="6"/>
    </row>
    <row r="177" spans="1:7" ht="17.399999999999999" x14ac:dyDescent="0.3">
      <c r="A177" s="14" t="s">
        <v>355</v>
      </c>
      <c r="B177" s="15">
        <v>100</v>
      </c>
      <c r="C177" s="16">
        <v>10550</v>
      </c>
      <c r="D177" s="29">
        <v>12840</v>
      </c>
      <c r="E177" s="13">
        <v>9880</v>
      </c>
      <c r="F177" s="6"/>
      <c r="G177" s="6"/>
    </row>
    <row r="178" spans="1:7" ht="17.399999999999999" x14ac:dyDescent="0.3">
      <c r="A178" s="14" t="s">
        <v>155</v>
      </c>
      <c r="B178" s="15">
        <v>100</v>
      </c>
      <c r="C178" s="16">
        <v>14530</v>
      </c>
      <c r="D178" s="29">
        <v>17700</v>
      </c>
      <c r="E178" s="13">
        <v>13650</v>
      </c>
      <c r="F178" s="6"/>
      <c r="G178" s="6"/>
    </row>
    <row r="179" spans="1:7" ht="17.399999999999999" x14ac:dyDescent="0.3">
      <c r="A179" s="14" t="s">
        <v>156</v>
      </c>
      <c r="B179" s="15">
        <v>1</v>
      </c>
      <c r="C179" s="16"/>
      <c r="D179" s="29"/>
      <c r="E179" s="13"/>
      <c r="F179" s="6"/>
      <c r="G179" s="6"/>
    </row>
    <row r="180" spans="1:7" ht="17.399999999999999" x14ac:dyDescent="0.3">
      <c r="A180" s="14" t="s">
        <v>157</v>
      </c>
      <c r="B180" s="15">
        <v>1</v>
      </c>
      <c r="C180" s="16"/>
      <c r="D180" s="29"/>
      <c r="E180" s="13"/>
    </row>
    <row r="181" spans="1:7" ht="17.399999999999999" x14ac:dyDescent="0.3">
      <c r="A181" s="82" t="s">
        <v>158</v>
      </c>
      <c r="B181" s="74"/>
      <c r="C181" s="75"/>
      <c r="D181" s="72"/>
      <c r="E181" s="70"/>
    </row>
    <row r="182" spans="1:7" ht="17.399999999999999" x14ac:dyDescent="0.3">
      <c r="A182" s="14" t="s">
        <v>160</v>
      </c>
      <c r="B182" s="15">
        <v>1</v>
      </c>
      <c r="C182" s="16">
        <v>650</v>
      </c>
      <c r="D182" s="29">
        <v>750</v>
      </c>
      <c r="E182" s="13">
        <v>600</v>
      </c>
    </row>
    <row r="183" spans="1:7" ht="17.399999999999999" x14ac:dyDescent="0.3">
      <c r="A183" s="14" t="s">
        <v>159</v>
      </c>
      <c r="B183" s="15">
        <v>1</v>
      </c>
      <c r="C183" s="16">
        <v>2170</v>
      </c>
      <c r="D183" s="29">
        <v>2650</v>
      </c>
      <c r="E183" s="13">
        <v>2040</v>
      </c>
    </row>
    <row r="184" spans="1:7" ht="17.399999999999999" x14ac:dyDescent="0.3">
      <c r="A184" s="82" t="s">
        <v>161</v>
      </c>
      <c r="B184" s="74"/>
      <c r="C184" s="75"/>
      <c r="D184" s="72"/>
      <c r="E184" s="70"/>
    </row>
    <row r="185" spans="1:7" ht="17.399999999999999" x14ac:dyDescent="0.3">
      <c r="A185" s="14" t="s">
        <v>162</v>
      </c>
      <c r="B185" s="15">
        <v>1</v>
      </c>
      <c r="C185" s="16">
        <v>2850</v>
      </c>
      <c r="D185" s="29">
        <v>3450</v>
      </c>
      <c r="E185" s="13">
        <v>2650</v>
      </c>
    </row>
    <row r="186" spans="1:7" ht="17.399999999999999" x14ac:dyDescent="0.3">
      <c r="A186" s="14" t="s">
        <v>256</v>
      </c>
      <c r="B186" s="15">
        <v>1</v>
      </c>
      <c r="C186" s="16">
        <v>1900</v>
      </c>
      <c r="D186" s="29">
        <v>2270</v>
      </c>
      <c r="E186" s="13">
        <v>1750</v>
      </c>
    </row>
    <row r="187" spans="1:7" ht="17.399999999999999" x14ac:dyDescent="0.3">
      <c r="A187" s="14" t="s">
        <v>163</v>
      </c>
      <c r="B187" s="15">
        <v>100</v>
      </c>
      <c r="C187" s="16">
        <v>3920</v>
      </c>
      <c r="D187" s="29">
        <v>4780</v>
      </c>
      <c r="E187" s="13">
        <v>3680</v>
      </c>
    </row>
    <row r="188" spans="1:7" ht="17.399999999999999" x14ac:dyDescent="0.3">
      <c r="A188" s="14" t="s">
        <v>164</v>
      </c>
      <c r="B188" s="15">
        <v>1</v>
      </c>
      <c r="C188" s="16">
        <v>3980</v>
      </c>
      <c r="D188" s="29">
        <v>4850</v>
      </c>
      <c r="E188" s="13">
        <v>3750</v>
      </c>
    </row>
    <row r="189" spans="1:7" ht="17.399999999999999" x14ac:dyDescent="0.3">
      <c r="A189" s="14" t="s">
        <v>165</v>
      </c>
      <c r="B189" s="15">
        <v>100</v>
      </c>
      <c r="C189" s="16">
        <v>720</v>
      </c>
      <c r="D189" s="29">
        <v>880</v>
      </c>
      <c r="E189" s="13">
        <v>680</v>
      </c>
    </row>
    <row r="190" spans="1:7" ht="17.399999999999999" x14ac:dyDescent="0.3">
      <c r="A190" s="14" t="s">
        <v>166</v>
      </c>
      <c r="B190" s="15">
        <v>100</v>
      </c>
      <c r="C190" s="16"/>
      <c r="D190" s="29"/>
      <c r="E190" s="13"/>
    </row>
    <row r="191" spans="1:7" ht="17.399999999999999" x14ac:dyDescent="0.3">
      <c r="A191" s="82" t="s">
        <v>167</v>
      </c>
      <c r="B191" s="74"/>
      <c r="C191" s="75"/>
      <c r="D191" s="72"/>
      <c r="E191" s="70"/>
    </row>
    <row r="192" spans="1:7" ht="17.399999999999999" x14ac:dyDescent="0.3">
      <c r="A192" s="14" t="s">
        <v>168</v>
      </c>
      <c r="B192" s="15">
        <v>100</v>
      </c>
      <c r="C192" s="16">
        <v>10820</v>
      </c>
      <c r="D192" s="29">
        <v>13190</v>
      </c>
      <c r="E192" s="13">
        <v>10140</v>
      </c>
    </row>
    <row r="193" spans="1:5" ht="17.399999999999999" x14ac:dyDescent="0.3">
      <c r="A193" s="14" t="s">
        <v>169</v>
      </c>
      <c r="B193" s="15">
        <v>100</v>
      </c>
      <c r="C193" s="16">
        <v>12050</v>
      </c>
      <c r="D193" s="29">
        <v>14660</v>
      </c>
      <c r="E193" s="13">
        <v>11270</v>
      </c>
    </row>
    <row r="194" spans="1:5" ht="17.399999999999999" x14ac:dyDescent="0.3">
      <c r="A194" s="82" t="s">
        <v>170</v>
      </c>
      <c r="B194" s="74"/>
      <c r="C194" s="75"/>
      <c r="D194" s="72"/>
      <c r="E194" s="70"/>
    </row>
    <row r="195" spans="1:5" ht="17.399999999999999" x14ac:dyDescent="0.3">
      <c r="A195" s="14" t="s">
        <v>234</v>
      </c>
      <c r="B195" s="15">
        <v>1</v>
      </c>
      <c r="C195" s="16"/>
      <c r="D195" s="29"/>
      <c r="E195" s="13"/>
    </row>
    <row r="196" spans="1:5" ht="17.399999999999999" x14ac:dyDescent="0.3">
      <c r="A196" s="14" t="s">
        <v>171</v>
      </c>
      <c r="B196" s="15">
        <v>1</v>
      </c>
      <c r="C196" s="16">
        <v>170</v>
      </c>
      <c r="D196" s="29">
        <v>200</v>
      </c>
      <c r="E196" s="13">
        <v>150</v>
      </c>
    </row>
    <row r="197" spans="1:5" ht="17.399999999999999" x14ac:dyDescent="0.3">
      <c r="A197" s="14" t="s">
        <v>172</v>
      </c>
      <c r="B197" s="15">
        <v>1</v>
      </c>
      <c r="C197" s="16">
        <v>220</v>
      </c>
      <c r="D197" s="29">
        <v>270</v>
      </c>
      <c r="E197" s="13">
        <v>200</v>
      </c>
    </row>
    <row r="198" spans="1:5" ht="17.399999999999999" x14ac:dyDescent="0.3">
      <c r="A198" s="14" t="s">
        <v>174</v>
      </c>
      <c r="B198" s="15">
        <v>1</v>
      </c>
      <c r="C198" s="16">
        <v>450</v>
      </c>
      <c r="D198" s="29">
        <v>540</v>
      </c>
      <c r="E198" s="13">
        <v>420</v>
      </c>
    </row>
    <row r="199" spans="1:5" ht="17.399999999999999" x14ac:dyDescent="0.3">
      <c r="A199" s="14" t="s">
        <v>173</v>
      </c>
      <c r="B199" s="15">
        <v>1</v>
      </c>
      <c r="C199" s="16">
        <v>590</v>
      </c>
      <c r="D199" s="29">
        <v>720</v>
      </c>
      <c r="E199" s="13">
        <v>550</v>
      </c>
    </row>
    <row r="200" spans="1:5" ht="17.399999999999999" x14ac:dyDescent="0.3">
      <c r="A200" s="82" t="s">
        <v>175</v>
      </c>
      <c r="B200" s="74"/>
      <c r="C200" s="75"/>
      <c r="D200" s="72"/>
      <c r="E200" s="70"/>
    </row>
    <row r="201" spans="1:5" ht="17.399999999999999" x14ac:dyDescent="0.3">
      <c r="A201" s="14" t="s">
        <v>176</v>
      </c>
      <c r="B201" s="15">
        <v>100</v>
      </c>
      <c r="C201" s="16">
        <v>4490</v>
      </c>
      <c r="D201" s="29">
        <v>5470</v>
      </c>
      <c r="E201" s="13">
        <v>4210</v>
      </c>
    </row>
    <row r="202" spans="1:5" ht="17.399999999999999" x14ac:dyDescent="0.3">
      <c r="A202" s="14" t="s">
        <v>177</v>
      </c>
      <c r="B202" s="15">
        <v>100</v>
      </c>
      <c r="C202" s="16">
        <v>4040</v>
      </c>
      <c r="D202" s="29">
        <v>4920</v>
      </c>
      <c r="E202" s="13">
        <v>3780</v>
      </c>
    </row>
    <row r="203" spans="1:5" ht="17.399999999999999" x14ac:dyDescent="0.3">
      <c r="A203" s="14" t="s">
        <v>178</v>
      </c>
      <c r="B203" s="15">
        <v>100</v>
      </c>
      <c r="C203" s="16">
        <v>6050</v>
      </c>
      <c r="D203" s="29">
        <v>7360</v>
      </c>
      <c r="E203" s="13">
        <v>5670</v>
      </c>
    </row>
    <row r="204" spans="1:5" ht="17.399999999999999" x14ac:dyDescent="0.3">
      <c r="A204" s="14" t="s">
        <v>179</v>
      </c>
      <c r="B204" s="15">
        <v>1</v>
      </c>
      <c r="C204" s="16">
        <v>240</v>
      </c>
      <c r="D204" s="29">
        <v>290</v>
      </c>
      <c r="E204" s="13">
        <v>230</v>
      </c>
    </row>
    <row r="205" spans="1:5" ht="17.399999999999999" x14ac:dyDescent="0.3">
      <c r="A205" s="14" t="s">
        <v>292</v>
      </c>
      <c r="B205" s="15">
        <v>100</v>
      </c>
      <c r="C205" s="16">
        <v>9850</v>
      </c>
      <c r="D205" s="29">
        <v>12000</v>
      </c>
      <c r="E205" s="13">
        <v>9240</v>
      </c>
    </row>
    <row r="206" spans="1:5" ht="17.399999999999999" x14ac:dyDescent="0.3">
      <c r="A206" s="14" t="s">
        <v>294</v>
      </c>
      <c r="B206" s="15">
        <v>100</v>
      </c>
      <c r="C206" s="16"/>
      <c r="D206" s="29"/>
      <c r="E206" s="13"/>
    </row>
    <row r="207" spans="1:5" ht="17.399999999999999" x14ac:dyDescent="0.3">
      <c r="A207" s="14" t="s">
        <v>293</v>
      </c>
      <c r="B207" s="15">
        <v>100</v>
      </c>
      <c r="C207" s="16">
        <v>11240</v>
      </c>
      <c r="D207" s="29">
        <v>13700</v>
      </c>
      <c r="E207" s="13">
        <v>10540</v>
      </c>
    </row>
    <row r="208" spans="1:5" ht="17.399999999999999" x14ac:dyDescent="0.3">
      <c r="A208" s="14" t="s">
        <v>295</v>
      </c>
      <c r="B208" s="15">
        <v>100</v>
      </c>
      <c r="C208" s="16"/>
      <c r="D208" s="29"/>
      <c r="E208" s="13"/>
    </row>
    <row r="209" spans="1:5" ht="17.399999999999999" x14ac:dyDescent="0.3">
      <c r="A209" s="14" t="s">
        <v>296</v>
      </c>
      <c r="B209" s="15">
        <v>100</v>
      </c>
      <c r="C209" s="16"/>
      <c r="D209" s="29"/>
      <c r="E209" s="13"/>
    </row>
    <row r="210" spans="1:5" ht="17.399999999999999" x14ac:dyDescent="0.3">
      <c r="A210" s="14" t="s">
        <v>297</v>
      </c>
      <c r="B210" s="15">
        <v>100</v>
      </c>
      <c r="C210" s="16"/>
      <c r="D210" s="29"/>
      <c r="E210" s="13"/>
    </row>
    <row r="211" spans="1:5" ht="17.399999999999999" x14ac:dyDescent="0.3">
      <c r="A211" s="8" t="s">
        <v>300</v>
      </c>
      <c r="B211" s="15">
        <v>1</v>
      </c>
      <c r="C211" s="16">
        <v>160</v>
      </c>
      <c r="D211" s="29">
        <v>200</v>
      </c>
      <c r="E211" s="13">
        <v>150</v>
      </c>
    </row>
    <row r="212" spans="1:5" ht="17.399999999999999" x14ac:dyDescent="0.3">
      <c r="A212" s="8" t="s">
        <v>301</v>
      </c>
      <c r="B212" s="15">
        <v>1</v>
      </c>
      <c r="C212" s="16">
        <v>160</v>
      </c>
      <c r="D212" s="29">
        <v>200</v>
      </c>
      <c r="E212" s="13">
        <v>150</v>
      </c>
    </row>
    <row r="213" spans="1:5" ht="17.399999999999999" x14ac:dyDescent="0.3">
      <c r="A213" s="8" t="s">
        <v>298</v>
      </c>
      <c r="B213" s="15">
        <v>1</v>
      </c>
      <c r="C213" s="16">
        <v>130</v>
      </c>
      <c r="D213" s="29">
        <v>160</v>
      </c>
      <c r="E213" s="13">
        <v>120</v>
      </c>
    </row>
    <row r="214" spans="1:5" ht="17.399999999999999" x14ac:dyDescent="0.3">
      <c r="A214" s="8" t="s">
        <v>299</v>
      </c>
      <c r="B214" s="15">
        <v>1</v>
      </c>
      <c r="C214" s="16"/>
      <c r="D214" s="29"/>
      <c r="E214" s="13"/>
    </row>
    <row r="215" spans="1:5" ht="17.399999999999999" x14ac:dyDescent="0.3">
      <c r="A215" s="8" t="s">
        <v>302</v>
      </c>
      <c r="B215" s="15">
        <v>1</v>
      </c>
      <c r="C215" s="16"/>
      <c r="D215" s="29"/>
      <c r="E215" s="13"/>
    </row>
    <row r="216" spans="1:5" ht="17.399999999999999" x14ac:dyDescent="0.3">
      <c r="A216" s="14" t="s">
        <v>365</v>
      </c>
      <c r="B216" s="15">
        <v>1</v>
      </c>
      <c r="C216" s="16">
        <v>190</v>
      </c>
      <c r="D216" s="29">
        <v>230</v>
      </c>
      <c r="E216" s="13">
        <v>180</v>
      </c>
    </row>
    <row r="217" spans="1:5" ht="17.399999999999999" x14ac:dyDescent="0.3">
      <c r="A217" s="14" t="s">
        <v>262</v>
      </c>
      <c r="B217" s="15">
        <v>100</v>
      </c>
      <c r="C217" s="16"/>
      <c r="D217" s="29"/>
      <c r="E217" s="13"/>
    </row>
    <row r="218" spans="1:5" ht="17.399999999999999" x14ac:dyDescent="0.3">
      <c r="A218" s="82" t="s">
        <v>184</v>
      </c>
      <c r="B218" s="74"/>
      <c r="C218" s="75"/>
      <c r="D218" s="72"/>
      <c r="E218" s="70"/>
    </row>
    <row r="219" spans="1:5" ht="17.399999999999999" x14ac:dyDescent="0.3">
      <c r="A219" s="14" t="s">
        <v>185</v>
      </c>
      <c r="B219" s="15">
        <v>1</v>
      </c>
      <c r="C219" s="16">
        <v>11110</v>
      </c>
      <c r="D219" s="29">
        <v>13540</v>
      </c>
      <c r="E219" s="13">
        <v>10420</v>
      </c>
    </row>
    <row r="220" spans="1:5" ht="17.399999999999999" x14ac:dyDescent="0.3">
      <c r="A220" s="14" t="s">
        <v>370</v>
      </c>
      <c r="B220" s="15">
        <v>1</v>
      </c>
      <c r="C220" s="16">
        <v>7560</v>
      </c>
      <c r="D220" s="29">
        <v>9200</v>
      </c>
      <c r="E220" s="13">
        <v>7100</v>
      </c>
    </row>
    <row r="221" spans="1:5" ht="17.399999999999999" x14ac:dyDescent="0.3">
      <c r="A221" s="14" t="s">
        <v>186</v>
      </c>
      <c r="B221" s="15">
        <v>1</v>
      </c>
      <c r="C221" s="16">
        <v>9100</v>
      </c>
      <c r="D221" s="29">
        <v>11080</v>
      </c>
      <c r="E221" s="13">
        <v>8530</v>
      </c>
    </row>
    <row r="222" spans="1:5" ht="17.399999999999999" x14ac:dyDescent="0.3">
      <c r="A222" s="14" t="s">
        <v>371</v>
      </c>
      <c r="B222" s="15">
        <v>1</v>
      </c>
      <c r="C222" s="16">
        <v>6680</v>
      </c>
      <c r="D222" s="29">
        <v>8140</v>
      </c>
      <c r="E222" s="13">
        <v>6260</v>
      </c>
    </row>
    <row r="223" spans="1:5" ht="17.399999999999999" x14ac:dyDescent="0.3">
      <c r="A223" s="82" t="s">
        <v>253</v>
      </c>
      <c r="B223" s="74"/>
      <c r="C223" s="75"/>
      <c r="D223" s="72"/>
      <c r="E223" s="70"/>
    </row>
    <row r="224" spans="1:5" ht="17.399999999999999" x14ac:dyDescent="0.3">
      <c r="A224" s="14" t="s">
        <v>188</v>
      </c>
      <c r="B224" s="15">
        <v>1</v>
      </c>
      <c r="C224" s="16">
        <v>2650</v>
      </c>
      <c r="D224" s="29">
        <v>3200</v>
      </c>
      <c r="E224" s="13">
        <v>2460</v>
      </c>
    </row>
    <row r="225" spans="1:5" ht="17.399999999999999" x14ac:dyDescent="0.3">
      <c r="A225" s="14" t="s">
        <v>244</v>
      </c>
      <c r="B225" s="15">
        <v>10</v>
      </c>
      <c r="C225" s="16"/>
      <c r="D225" s="29"/>
      <c r="E225" s="13"/>
    </row>
    <row r="226" spans="1:5" ht="17.399999999999999" x14ac:dyDescent="0.3">
      <c r="A226" s="14" t="s">
        <v>245</v>
      </c>
      <c r="B226" s="15">
        <v>1</v>
      </c>
      <c r="C226" s="16"/>
      <c r="D226" s="29"/>
      <c r="E226" s="13"/>
    </row>
    <row r="227" spans="1:5" ht="17.399999999999999" x14ac:dyDescent="0.3">
      <c r="A227" s="14" t="s">
        <v>189</v>
      </c>
      <c r="B227" s="15">
        <v>1</v>
      </c>
      <c r="C227" s="16"/>
      <c r="D227" s="29"/>
      <c r="E227" s="13"/>
    </row>
    <row r="228" spans="1:5" ht="17.399999999999999" x14ac:dyDescent="0.3">
      <c r="A228" s="14" t="s">
        <v>190</v>
      </c>
      <c r="B228" s="15">
        <v>100</v>
      </c>
      <c r="C228" s="16">
        <v>1180</v>
      </c>
      <c r="D228" s="29">
        <v>1430</v>
      </c>
      <c r="E228" s="13">
        <v>1100</v>
      </c>
    </row>
    <row r="229" spans="1:5" ht="17.399999999999999" x14ac:dyDescent="0.3">
      <c r="A229" s="14" t="s">
        <v>339</v>
      </c>
      <c r="B229" s="15">
        <v>1</v>
      </c>
      <c r="C229" s="16">
        <v>1900</v>
      </c>
      <c r="D229" s="30">
        <v>2300</v>
      </c>
      <c r="E229" s="13">
        <v>1770</v>
      </c>
    </row>
    <row r="230" spans="1:5" ht="17.399999999999999" x14ac:dyDescent="0.3">
      <c r="A230" s="14" t="s">
        <v>344</v>
      </c>
      <c r="B230" s="15">
        <v>1</v>
      </c>
      <c r="C230" s="16">
        <v>1600</v>
      </c>
      <c r="D230" s="30">
        <v>1960</v>
      </c>
      <c r="E230" s="13">
        <v>1510</v>
      </c>
    </row>
    <row r="231" spans="1:5" ht="17.399999999999999" x14ac:dyDescent="0.3">
      <c r="A231" s="14" t="s">
        <v>193</v>
      </c>
      <c r="B231" s="15">
        <v>100</v>
      </c>
      <c r="C231" s="16">
        <v>1500</v>
      </c>
      <c r="D231" s="29">
        <v>1780</v>
      </c>
      <c r="E231" s="13">
        <v>1400</v>
      </c>
    </row>
    <row r="232" spans="1:5" ht="17.399999999999999" x14ac:dyDescent="0.3">
      <c r="A232" s="14" t="s">
        <v>194</v>
      </c>
      <c r="B232" s="15">
        <v>1</v>
      </c>
      <c r="C232" s="16">
        <v>14430</v>
      </c>
      <c r="D232" s="29">
        <v>17600</v>
      </c>
      <c r="E232" s="13">
        <v>13530</v>
      </c>
    </row>
    <row r="233" spans="1:5" ht="17.399999999999999" x14ac:dyDescent="0.3">
      <c r="A233" s="14" t="s">
        <v>195</v>
      </c>
      <c r="B233" s="15">
        <v>1</v>
      </c>
      <c r="C233" s="16"/>
      <c r="D233" s="29"/>
      <c r="E233" s="13"/>
    </row>
    <row r="234" spans="1:5" ht="17.399999999999999" x14ac:dyDescent="0.3">
      <c r="A234" s="14" t="s">
        <v>196</v>
      </c>
      <c r="B234" s="15">
        <v>1</v>
      </c>
      <c r="C234" s="16"/>
      <c r="D234" s="29"/>
      <c r="E234" s="13"/>
    </row>
    <row r="235" spans="1:5" ht="17.399999999999999" x14ac:dyDescent="0.3">
      <c r="A235" s="14" t="s">
        <v>197</v>
      </c>
      <c r="B235" s="15">
        <v>1</v>
      </c>
      <c r="C235" s="16">
        <v>1500</v>
      </c>
      <c r="D235" s="29">
        <v>1700</v>
      </c>
      <c r="E235" s="13">
        <v>1350</v>
      </c>
    </row>
    <row r="236" spans="1:5" ht="17.399999999999999" x14ac:dyDescent="0.3">
      <c r="A236" s="14" t="s">
        <v>198</v>
      </c>
      <c r="B236" s="15">
        <v>1</v>
      </c>
      <c r="C236" s="16">
        <v>3090</v>
      </c>
      <c r="D236" s="29">
        <v>3770</v>
      </c>
      <c r="E236" s="13">
        <v>2900</v>
      </c>
    </row>
    <row r="237" spans="1:5" ht="17.399999999999999" x14ac:dyDescent="0.3">
      <c r="A237" s="14" t="s">
        <v>199</v>
      </c>
      <c r="B237" s="15" t="s">
        <v>141</v>
      </c>
      <c r="C237" s="16">
        <v>4050</v>
      </c>
      <c r="D237" s="29">
        <v>4940</v>
      </c>
      <c r="E237" s="13">
        <v>3800</v>
      </c>
    </row>
    <row r="238" spans="1:5" ht="17.399999999999999" x14ac:dyDescent="0.3">
      <c r="A238" s="14" t="s">
        <v>6</v>
      </c>
      <c r="B238" s="15">
        <v>1</v>
      </c>
      <c r="C238" s="16">
        <v>1600</v>
      </c>
      <c r="D238" s="29">
        <v>1970</v>
      </c>
      <c r="E238" s="13">
        <v>1510</v>
      </c>
    </row>
    <row r="239" spans="1:5" ht="17.399999999999999" x14ac:dyDescent="0.3">
      <c r="A239" s="14" t="s">
        <v>200</v>
      </c>
      <c r="B239" s="15">
        <v>1</v>
      </c>
      <c r="C239" s="16"/>
      <c r="D239" s="29"/>
      <c r="E239" s="13"/>
    </row>
    <row r="240" spans="1:5" ht="17.399999999999999" x14ac:dyDescent="0.3">
      <c r="A240" s="14" t="s">
        <v>201</v>
      </c>
      <c r="B240" s="15">
        <v>1</v>
      </c>
      <c r="C240" s="16"/>
      <c r="D240" s="29"/>
      <c r="E240" s="13"/>
    </row>
    <row r="241" spans="1:5" ht="17.399999999999999" x14ac:dyDescent="0.3">
      <c r="A241" s="14" t="s">
        <v>202</v>
      </c>
      <c r="B241" s="15">
        <v>1</v>
      </c>
      <c r="C241" s="16"/>
      <c r="D241" s="29"/>
      <c r="E241" s="13"/>
    </row>
    <row r="242" spans="1:5" ht="17.399999999999999" x14ac:dyDescent="0.3">
      <c r="A242" s="14" t="s">
        <v>284</v>
      </c>
      <c r="B242" s="15">
        <v>1</v>
      </c>
      <c r="C242" s="16"/>
      <c r="D242" s="29"/>
      <c r="E242" s="13"/>
    </row>
    <row r="243" spans="1:5" ht="17.399999999999999" x14ac:dyDescent="0.3">
      <c r="A243" s="14" t="s">
        <v>269</v>
      </c>
      <c r="B243" s="15">
        <v>1</v>
      </c>
      <c r="C243" s="16"/>
      <c r="D243" s="29"/>
      <c r="E243" s="13"/>
    </row>
    <row r="244" spans="1:5" ht="17.399999999999999" x14ac:dyDescent="0.3">
      <c r="A244" s="14" t="s">
        <v>270</v>
      </c>
      <c r="B244" s="15">
        <v>1</v>
      </c>
      <c r="C244" s="16"/>
      <c r="D244" s="29"/>
      <c r="E244" s="13"/>
    </row>
    <row r="245" spans="1:5" ht="17.399999999999999" x14ac:dyDescent="0.3">
      <c r="A245" s="82" t="s">
        <v>204</v>
      </c>
      <c r="B245" s="74"/>
      <c r="C245" s="75"/>
      <c r="D245" s="72"/>
      <c r="E245" s="70"/>
    </row>
    <row r="246" spans="1:5" ht="17.399999999999999" x14ac:dyDescent="0.3">
      <c r="A246" s="14" t="s">
        <v>205</v>
      </c>
      <c r="B246" s="15">
        <v>1</v>
      </c>
      <c r="C246" s="16">
        <v>1000</v>
      </c>
      <c r="D246" s="29">
        <v>1220</v>
      </c>
      <c r="E246" s="13">
        <v>940</v>
      </c>
    </row>
    <row r="247" spans="1:5" ht="17.399999999999999" x14ac:dyDescent="0.3">
      <c r="A247" s="14" t="s">
        <v>206</v>
      </c>
      <c r="B247" s="15">
        <v>1</v>
      </c>
      <c r="C247" s="16">
        <v>980</v>
      </c>
      <c r="D247" s="29">
        <v>1190</v>
      </c>
      <c r="E247" s="13">
        <v>920</v>
      </c>
    </row>
    <row r="248" spans="1:5" ht="17.399999999999999" x14ac:dyDescent="0.3">
      <c r="A248" s="14" t="s">
        <v>207</v>
      </c>
      <c r="B248" s="15">
        <v>1</v>
      </c>
      <c r="C248" s="16">
        <v>11880</v>
      </c>
      <c r="D248" s="29">
        <v>14480</v>
      </c>
      <c r="E248" s="13">
        <v>11140</v>
      </c>
    </row>
    <row r="249" spans="1:5" ht="17.399999999999999" x14ac:dyDescent="0.3">
      <c r="A249" s="14" t="s">
        <v>208</v>
      </c>
      <c r="B249" s="15">
        <v>1</v>
      </c>
      <c r="C249" s="16">
        <v>960</v>
      </c>
      <c r="D249" s="29">
        <v>1170</v>
      </c>
      <c r="E249" s="13">
        <v>900</v>
      </c>
    </row>
    <row r="250" spans="1:5" ht="17.399999999999999" x14ac:dyDescent="0.3">
      <c r="A250" s="14" t="s">
        <v>209</v>
      </c>
      <c r="B250" s="15">
        <v>1</v>
      </c>
      <c r="C250" s="16">
        <v>3450</v>
      </c>
      <c r="D250" s="29">
        <v>4180</v>
      </c>
      <c r="E250" s="13">
        <v>3220</v>
      </c>
    </row>
    <row r="251" spans="1:5" ht="17.399999999999999" x14ac:dyDescent="0.3">
      <c r="A251" s="14" t="s">
        <v>210</v>
      </c>
      <c r="B251" s="15">
        <v>1</v>
      </c>
      <c r="C251" s="16">
        <v>22220</v>
      </c>
      <c r="D251" s="29">
        <v>27080</v>
      </c>
      <c r="E251" s="13">
        <v>20830</v>
      </c>
    </row>
    <row r="252" spans="1:5" ht="17.399999999999999" x14ac:dyDescent="0.3">
      <c r="A252" s="14" t="s">
        <v>287</v>
      </c>
      <c r="B252" s="14">
        <v>1</v>
      </c>
      <c r="C252" s="16"/>
      <c r="D252" s="29"/>
      <c r="E252" s="23"/>
    </row>
    <row r="253" spans="1:5" ht="17.399999999999999" x14ac:dyDescent="0.3">
      <c r="A253" s="24" t="s">
        <v>348</v>
      </c>
      <c r="B253" s="14">
        <v>1</v>
      </c>
      <c r="C253" s="16"/>
      <c r="D253" s="29"/>
      <c r="E253" s="23"/>
    </row>
    <row r="254" spans="1:5" ht="17.399999999999999" x14ac:dyDescent="0.3">
      <c r="A254" s="14" t="s">
        <v>349</v>
      </c>
      <c r="B254" s="14">
        <v>1</v>
      </c>
      <c r="C254" s="16">
        <v>24700</v>
      </c>
      <c r="D254" s="29">
        <v>30100</v>
      </c>
      <c r="E254" s="23">
        <v>23130</v>
      </c>
    </row>
    <row r="255" spans="1:5" ht="17.399999999999999" x14ac:dyDescent="0.3">
      <c r="A255" s="14" t="s">
        <v>214</v>
      </c>
      <c r="B255" s="14">
        <v>1</v>
      </c>
      <c r="C255" s="16"/>
      <c r="D255" s="29"/>
      <c r="E255" s="23"/>
    </row>
    <row r="256" spans="1:5" ht="17.399999999999999" x14ac:dyDescent="0.3">
      <c r="A256" s="14" t="s">
        <v>215</v>
      </c>
      <c r="B256" s="14">
        <v>1</v>
      </c>
      <c r="C256" s="16">
        <v>2230</v>
      </c>
      <c r="D256" s="29">
        <v>2720</v>
      </c>
      <c r="E256" s="23">
        <v>2090</v>
      </c>
    </row>
    <row r="257" spans="1:5" ht="17.399999999999999" x14ac:dyDescent="0.3">
      <c r="A257" s="82" t="s">
        <v>216</v>
      </c>
      <c r="B257" s="75"/>
      <c r="C257" s="75"/>
      <c r="D257" s="72"/>
      <c r="E257" s="70"/>
    </row>
    <row r="258" spans="1:5" ht="17.399999999999999" x14ac:dyDescent="0.3">
      <c r="A258" s="24" t="s">
        <v>217</v>
      </c>
      <c r="B258" s="14">
        <v>100</v>
      </c>
      <c r="C258" s="25">
        <v>4510</v>
      </c>
      <c r="D258" s="29">
        <v>5500</v>
      </c>
      <c r="E258" s="23">
        <v>4230</v>
      </c>
    </row>
    <row r="259" spans="1:5" ht="17.399999999999999" x14ac:dyDescent="0.3">
      <c r="A259" s="14" t="s">
        <v>218</v>
      </c>
      <c r="B259" s="14">
        <v>50</v>
      </c>
      <c r="C259" s="16"/>
      <c r="D259" s="29"/>
      <c r="E259" s="23"/>
    </row>
    <row r="260" spans="1:5" ht="17.399999999999999" x14ac:dyDescent="0.3">
      <c r="A260" s="82" t="s">
        <v>219</v>
      </c>
      <c r="B260" s="75"/>
      <c r="C260" s="75"/>
      <c r="D260" s="72"/>
      <c r="E260" s="70"/>
    </row>
    <row r="261" spans="1:5" ht="17.399999999999999" x14ac:dyDescent="0.3">
      <c r="A261" s="20" t="s">
        <v>220</v>
      </c>
      <c r="B261" s="14">
        <v>1</v>
      </c>
      <c r="C261" s="25">
        <v>420</v>
      </c>
      <c r="D261" s="32">
        <v>500</v>
      </c>
      <c r="E261" s="50">
        <v>390</v>
      </c>
    </row>
    <row r="262" spans="1:5" ht="17.399999999999999" x14ac:dyDescent="0.3">
      <c r="A262" s="20" t="s">
        <v>221</v>
      </c>
      <c r="B262" s="14">
        <v>1</v>
      </c>
      <c r="C262" s="25">
        <v>220</v>
      </c>
      <c r="D262" s="32">
        <v>260</v>
      </c>
      <c r="E262" s="50">
        <v>200</v>
      </c>
    </row>
    <row r="263" spans="1:5" ht="17.399999999999999" x14ac:dyDescent="0.3">
      <c r="A263" s="14" t="s">
        <v>222</v>
      </c>
      <c r="B263" s="23">
        <v>1</v>
      </c>
      <c r="C263" s="16"/>
      <c r="D263" s="29"/>
      <c r="E263" s="23"/>
    </row>
    <row r="264" spans="1:5" ht="17.399999999999999" x14ac:dyDescent="0.3">
      <c r="A264" s="14" t="s">
        <v>223</v>
      </c>
      <c r="B264" s="14">
        <v>1</v>
      </c>
      <c r="C264" s="16"/>
      <c r="D264" s="29"/>
      <c r="E264" s="23"/>
    </row>
    <row r="265" spans="1:5" ht="17.399999999999999" x14ac:dyDescent="0.3">
      <c r="A265" s="82" t="s">
        <v>326</v>
      </c>
      <c r="B265" s="75"/>
      <c r="C265" s="75"/>
      <c r="D265" s="72"/>
      <c r="E265" s="70"/>
    </row>
    <row r="266" spans="1:5" ht="17.399999999999999" x14ac:dyDescent="0.3">
      <c r="A266" s="14" t="s">
        <v>225</v>
      </c>
      <c r="B266" s="23">
        <v>1</v>
      </c>
      <c r="C266" s="16">
        <v>850</v>
      </c>
      <c r="D266" s="29">
        <v>1030</v>
      </c>
      <c r="E266" s="23">
        <v>790</v>
      </c>
    </row>
    <row r="267" spans="1:5" ht="17.399999999999999" x14ac:dyDescent="0.3">
      <c r="A267" s="14" t="s">
        <v>329</v>
      </c>
      <c r="B267" s="23">
        <v>1</v>
      </c>
      <c r="C267" s="16"/>
      <c r="D267" s="29"/>
      <c r="E267" s="23"/>
    </row>
    <row r="268" spans="1:5" ht="17.399999999999999" x14ac:dyDescent="0.3">
      <c r="A268" s="14" t="s">
        <v>330</v>
      </c>
      <c r="B268" s="23">
        <v>1</v>
      </c>
      <c r="C268" s="16"/>
      <c r="D268" s="29"/>
      <c r="E268" s="23"/>
    </row>
    <row r="269" spans="1:5" ht="17.399999999999999" x14ac:dyDescent="0.3">
      <c r="A269" s="14" t="s">
        <v>331</v>
      </c>
      <c r="B269" s="23">
        <v>1</v>
      </c>
      <c r="C269" s="16"/>
      <c r="D269" s="29"/>
      <c r="E269" s="23"/>
    </row>
    <row r="270" spans="1:5" ht="17.399999999999999" x14ac:dyDescent="0.3">
      <c r="A270" s="14" t="s">
        <v>332</v>
      </c>
      <c r="B270" s="23">
        <v>1</v>
      </c>
      <c r="C270" s="16"/>
      <c r="D270" s="29"/>
      <c r="E270" s="23"/>
    </row>
    <row r="271" spans="1:5" ht="17.399999999999999" x14ac:dyDescent="0.3">
      <c r="A271" s="14" t="s">
        <v>333</v>
      </c>
      <c r="B271" s="23">
        <v>1</v>
      </c>
      <c r="C271" s="16"/>
      <c r="D271" s="29"/>
      <c r="E271" s="23"/>
    </row>
    <row r="272" spans="1:5" ht="17.399999999999999" x14ac:dyDescent="0.3">
      <c r="A272" s="14" t="s">
        <v>334</v>
      </c>
      <c r="B272" s="23">
        <v>1</v>
      </c>
      <c r="C272" s="16"/>
      <c r="D272" s="29"/>
      <c r="E272" s="23"/>
    </row>
    <row r="273" spans="1:5" ht="17.399999999999999" x14ac:dyDescent="0.3">
      <c r="A273" s="14" t="s">
        <v>226</v>
      </c>
      <c r="B273" s="23">
        <v>1</v>
      </c>
      <c r="C273" s="16"/>
      <c r="D273" s="29"/>
      <c r="E273" s="23"/>
    </row>
    <row r="274" spans="1:5" ht="17.399999999999999" x14ac:dyDescent="0.3">
      <c r="A274" s="108" t="s">
        <v>248</v>
      </c>
      <c r="B274" s="70"/>
      <c r="C274" s="109"/>
      <c r="D274" s="111"/>
      <c r="E274" s="112"/>
    </row>
    <row r="275" spans="1:5" ht="17.399999999999999" x14ac:dyDescent="0.3">
      <c r="A275" s="14" t="s">
        <v>227</v>
      </c>
      <c r="B275" s="23">
        <v>1</v>
      </c>
      <c r="C275" s="16"/>
      <c r="D275" s="29"/>
      <c r="E275" s="23"/>
    </row>
    <row r="276" spans="1:5" ht="17.399999999999999" x14ac:dyDescent="0.3">
      <c r="A276" s="14" t="s">
        <v>228</v>
      </c>
      <c r="B276" s="23">
        <v>1</v>
      </c>
      <c r="C276" s="16"/>
      <c r="D276" s="29"/>
      <c r="E276" s="23"/>
    </row>
    <row r="277" spans="1:5" ht="17.399999999999999" x14ac:dyDescent="0.3">
      <c r="A277" s="14" t="s">
        <v>304</v>
      </c>
      <c r="B277" s="23">
        <v>1</v>
      </c>
      <c r="C277" s="16"/>
      <c r="D277" s="29"/>
      <c r="E277" s="23"/>
    </row>
    <row r="278" spans="1:5" ht="17.399999999999999" x14ac:dyDescent="0.3">
      <c r="A278" s="14" t="s">
        <v>305</v>
      </c>
      <c r="B278" s="23">
        <v>1</v>
      </c>
      <c r="C278" s="16"/>
      <c r="D278" s="29"/>
      <c r="E278" s="23"/>
    </row>
    <row r="279" spans="1:5" ht="17.399999999999999" x14ac:dyDescent="0.3">
      <c r="A279" s="14" t="s">
        <v>306</v>
      </c>
      <c r="B279" s="23">
        <v>1</v>
      </c>
      <c r="C279" s="16"/>
      <c r="D279" s="29"/>
      <c r="E279" s="23"/>
    </row>
    <row r="280" spans="1:5" ht="17.399999999999999" x14ac:dyDescent="0.3">
      <c r="A280" s="14" t="s">
        <v>307</v>
      </c>
      <c r="B280" s="23">
        <v>1</v>
      </c>
      <c r="C280" s="16"/>
      <c r="D280" s="29"/>
      <c r="E280" s="23"/>
    </row>
    <row r="281" spans="1:5" ht="17.399999999999999" x14ac:dyDescent="0.3">
      <c r="A281" s="14" t="s">
        <v>308</v>
      </c>
      <c r="B281" s="23">
        <v>1</v>
      </c>
      <c r="C281" s="16"/>
      <c r="D281" s="29"/>
      <c r="E281" s="23"/>
    </row>
    <row r="282" spans="1:5" ht="17.399999999999999" x14ac:dyDescent="0.3">
      <c r="A282" s="108" t="s">
        <v>251</v>
      </c>
      <c r="B282" s="70"/>
      <c r="C282" s="109"/>
      <c r="D282" s="111"/>
      <c r="E282" s="112"/>
    </row>
    <row r="283" spans="1:5" ht="17.399999999999999" x14ac:dyDescent="0.3">
      <c r="A283" s="14" t="s">
        <v>252</v>
      </c>
      <c r="B283" s="23">
        <v>1</v>
      </c>
      <c r="C283" s="121"/>
      <c r="D283" s="29"/>
      <c r="E283" s="23"/>
    </row>
    <row r="284" spans="1:5" ht="17.399999999999999" x14ac:dyDescent="0.3">
      <c r="A284" s="14" t="s">
        <v>191</v>
      </c>
      <c r="B284" s="15">
        <v>1</v>
      </c>
      <c r="C284" s="16"/>
      <c r="D284" s="29"/>
      <c r="E284" s="13"/>
    </row>
    <row r="285" spans="1:5" ht="17.399999999999999" x14ac:dyDescent="0.3">
      <c r="A285" s="14" t="s">
        <v>192</v>
      </c>
      <c r="B285" s="15">
        <v>1</v>
      </c>
      <c r="C285" s="16">
        <v>11900</v>
      </c>
      <c r="D285" s="29">
        <v>14500</v>
      </c>
      <c r="E285" s="13">
        <v>11200</v>
      </c>
    </row>
    <row r="286" spans="1:5" ht="17.399999999999999" x14ac:dyDescent="0.3">
      <c r="A286" s="14" t="s">
        <v>249</v>
      </c>
      <c r="B286" s="15">
        <v>1</v>
      </c>
      <c r="C286" s="16">
        <v>150</v>
      </c>
      <c r="D286" s="29">
        <v>200</v>
      </c>
      <c r="E286" s="13">
        <v>140</v>
      </c>
    </row>
    <row r="287" spans="1:5" ht="17.399999999999999" x14ac:dyDescent="0.3">
      <c r="A287" s="14" t="s">
        <v>250</v>
      </c>
      <c r="B287" s="15">
        <v>100</v>
      </c>
      <c r="C287" s="16"/>
      <c r="D287" s="29"/>
      <c r="E287" s="13"/>
    </row>
    <row r="288" spans="1:5" ht="17.399999999999999" x14ac:dyDescent="0.3">
      <c r="A288" s="14" t="s">
        <v>203</v>
      </c>
      <c r="B288" s="15">
        <v>1</v>
      </c>
      <c r="C288" s="127"/>
      <c r="D288" s="29"/>
      <c r="E288" s="126"/>
    </row>
    <row r="289" spans="1:5" ht="17.399999999999999" x14ac:dyDescent="0.3">
      <c r="A289" s="82" t="s">
        <v>285</v>
      </c>
      <c r="B289" s="70"/>
      <c r="C289" s="75"/>
      <c r="D289" s="72"/>
      <c r="E289" s="70"/>
    </row>
    <row r="290" spans="1:5" ht="17.399999999999999" x14ac:dyDescent="0.3">
      <c r="A290" s="14" t="s">
        <v>321</v>
      </c>
      <c r="B290" s="14">
        <v>1</v>
      </c>
      <c r="C290" s="127"/>
      <c r="D290" s="29"/>
      <c r="E290" s="126"/>
    </row>
    <row r="291" spans="1:5" ht="17.399999999999999" x14ac:dyDescent="0.3">
      <c r="A291" s="14" t="s">
        <v>6</v>
      </c>
      <c r="B291" s="23">
        <v>1</v>
      </c>
      <c r="C291" s="127">
        <v>1130</v>
      </c>
      <c r="D291" s="29">
        <v>1380</v>
      </c>
      <c r="E291" s="126">
        <v>1060</v>
      </c>
    </row>
    <row r="292" spans="1:5" ht="17.399999999999999" x14ac:dyDescent="0.3">
      <c r="A292" s="14" t="s">
        <v>320</v>
      </c>
      <c r="B292" s="23">
        <v>1</v>
      </c>
      <c r="C292" s="127">
        <v>1350</v>
      </c>
      <c r="D292" s="29">
        <v>1650</v>
      </c>
      <c r="E292" s="126">
        <v>1270</v>
      </c>
    </row>
    <row r="293" spans="1:5" ht="17.399999999999999" x14ac:dyDescent="0.3">
      <c r="A293" s="14" t="s">
        <v>354</v>
      </c>
      <c r="B293" s="23">
        <v>1</v>
      </c>
      <c r="C293" s="127">
        <v>17000</v>
      </c>
      <c r="D293" s="29">
        <v>20750</v>
      </c>
      <c r="E293" s="126">
        <v>15950</v>
      </c>
    </row>
    <row r="294" spans="1:5" ht="17.399999999999999" x14ac:dyDescent="0.3">
      <c r="A294" s="14" t="s">
        <v>324</v>
      </c>
      <c r="B294" s="23">
        <v>1</v>
      </c>
      <c r="C294" s="127">
        <v>5010</v>
      </c>
      <c r="D294" s="29">
        <v>6100</v>
      </c>
      <c r="E294" s="126">
        <v>4700</v>
      </c>
    </row>
    <row r="295" spans="1:5" ht="17.399999999999999" x14ac:dyDescent="0.3">
      <c r="A295" s="129" t="s">
        <v>325</v>
      </c>
      <c r="B295" s="23">
        <v>1</v>
      </c>
      <c r="C295" s="127"/>
      <c r="D295" s="29"/>
      <c r="E295" s="126"/>
    </row>
    <row r="296" spans="1:5" ht="17.399999999999999" x14ac:dyDescent="0.3">
      <c r="A296" s="14" t="s">
        <v>327</v>
      </c>
      <c r="B296" s="8">
        <v>1</v>
      </c>
      <c r="C296" s="127"/>
      <c r="D296" s="29"/>
      <c r="E296" s="126"/>
    </row>
    <row r="297" spans="1:5" ht="17.399999999999999" x14ac:dyDescent="0.3">
      <c r="A297" s="14" t="s">
        <v>328</v>
      </c>
      <c r="B297" s="8">
        <v>1</v>
      </c>
      <c r="C297" s="127">
        <v>24060</v>
      </c>
      <c r="D297" s="29">
        <v>29330</v>
      </c>
      <c r="E297" s="126">
        <v>22560</v>
      </c>
    </row>
    <row r="298" spans="1:5" ht="17.399999999999999" x14ac:dyDescent="0.3">
      <c r="A298" s="75" t="s">
        <v>303</v>
      </c>
      <c r="B298" s="76"/>
      <c r="C298" s="75"/>
      <c r="D298" s="72"/>
      <c r="E298" s="70"/>
    </row>
    <row r="299" spans="1:5" ht="17.399999999999999" x14ac:dyDescent="0.3">
      <c r="A299" s="14" t="s">
        <v>271</v>
      </c>
      <c r="B299" s="8">
        <v>1</v>
      </c>
      <c r="C299" s="127">
        <v>1920</v>
      </c>
      <c r="D299" s="29">
        <v>2340</v>
      </c>
      <c r="E299" s="126">
        <v>1800</v>
      </c>
    </row>
    <row r="300" spans="1:5" ht="17.399999999999999" x14ac:dyDescent="0.3">
      <c r="A300" s="14" t="s">
        <v>272</v>
      </c>
      <c r="B300" s="8">
        <v>1</v>
      </c>
      <c r="C300" s="127">
        <v>2550</v>
      </c>
      <c r="D300" s="29">
        <v>3100</v>
      </c>
      <c r="E300" s="126">
        <v>2390</v>
      </c>
    </row>
    <row r="301" spans="1:5" ht="17.399999999999999" x14ac:dyDescent="0.3">
      <c r="A301" s="14" t="s">
        <v>273</v>
      </c>
      <c r="B301" s="8">
        <v>1</v>
      </c>
      <c r="C301" s="127">
        <v>2750</v>
      </c>
      <c r="D301" s="29">
        <v>3320</v>
      </c>
      <c r="E301" s="126">
        <v>2550</v>
      </c>
    </row>
    <row r="302" spans="1:5" ht="17.399999999999999" x14ac:dyDescent="0.3">
      <c r="A302" s="14" t="s">
        <v>274</v>
      </c>
      <c r="B302" s="8">
        <v>1</v>
      </c>
      <c r="C302" s="127">
        <v>3700</v>
      </c>
      <c r="D302" s="29">
        <v>4460</v>
      </c>
      <c r="E302" s="126">
        <v>3430</v>
      </c>
    </row>
    <row r="303" spans="1:5" ht="17.399999999999999" x14ac:dyDescent="0.3">
      <c r="A303" s="14" t="s">
        <v>322</v>
      </c>
      <c r="B303" s="8">
        <v>1</v>
      </c>
      <c r="C303" s="127">
        <v>1100</v>
      </c>
      <c r="D303" s="29">
        <v>1240</v>
      </c>
      <c r="E303" s="126">
        <v>950</v>
      </c>
    </row>
    <row r="304" spans="1:5" ht="17.399999999999999" x14ac:dyDescent="0.3">
      <c r="A304" s="14" t="s">
        <v>336</v>
      </c>
      <c r="B304" s="8">
        <v>1</v>
      </c>
      <c r="C304" s="132">
        <v>4100</v>
      </c>
      <c r="D304" s="30">
        <v>4990</v>
      </c>
      <c r="E304" s="131">
        <v>3900</v>
      </c>
    </row>
    <row r="305" spans="1:5" ht="17.399999999999999" x14ac:dyDescent="0.3">
      <c r="A305" s="14" t="s">
        <v>345</v>
      </c>
      <c r="B305" s="8">
        <v>1</v>
      </c>
      <c r="C305" s="132"/>
      <c r="D305" s="30"/>
      <c r="E305" s="131"/>
    </row>
    <row r="306" spans="1:5" ht="17.399999999999999" x14ac:dyDescent="0.3">
      <c r="D306" s="92"/>
    </row>
    <row r="307" spans="1:5" ht="17.399999999999999" x14ac:dyDescent="0.3">
      <c r="D307" s="92"/>
    </row>
    <row r="308" spans="1:5" ht="17.399999999999999" x14ac:dyDescent="0.3">
      <c r="D308" s="92"/>
    </row>
  </sheetData>
  <pageMargins left="0.70866141732283472" right="0.7086614173228347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1AE7C-2AC4-46DC-93F5-B1CE3666C3A2}">
  <dimension ref="A3:G162"/>
  <sheetViews>
    <sheetView workbookViewId="0">
      <selection activeCell="B29" sqref="B29"/>
    </sheetView>
  </sheetViews>
  <sheetFormatPr baseColWidth="10" defaultRowHeight="13.2" x14ac:dyDescent="0.25"/>
  <cols>
    <col min="2" max="2" width="37.33203125" customWidth="1"/>
    <col min="4" max="4" width="16.88671875" customWidth="1"/>
    <col min="5" max="5" width="22.21875" customWidth="1"/>
    <col min="6" max="6" width="14.33203125" customWidth="1"/>
  </cols>
  <sheetData>
    <row r="3" spans="1:7" x14ac:dyDescent="0.25">
      <c r="A3" s="107" t="s">
        <v>758</v>
      </c>
      <c r="B3" s="91"/>
      <c r="C3" s="91"/>
      <c r="D3" s="91"/>
      <c r="E3" s="91"/>
      <c r="F3" s="91"/>
      <c r="G3" s="91"/>
    </row>
    <row r="4" spans="1:7" x14ac:dyDescent="0.25">
      <c r="A4" s="91"/>
      <c r="B4" s="91"/>
      <c r="C4" s="91"/>
      <c r="D4" s="91"/>
      <c r="E4" s="91"/>
      <c r="F4" s="91"/>
      <c r="G4" s="91"/>
    </row>
    <row r="5" spans="1:7" x14ac:dyDescent="0.25">
      <c r="A5" s="161" t="s">
        <v>759</v>
      </c>
      <c r="B5" s="107"/>
      <c r="C5" s="107"/>
      <c r="D5" s="107"/>
      <c r="E5" s="107"/>
      <c r="F5" s="107"/>
      <c r="G5" s="107"/>
    </row>
    <row r="6" spans="1:7" x14ac:dyDescent="0.25">
      <c r="A6" s="107"/>
      <c r="B6" s="162"/>
      <c r="C6" s="107"/>
      <c r="D6" s="162"/>
      <c r="E6" s="162"/>
      <c r="F6" s="162"/>
      <c r="G6" s="107"/>
    </row>
    <row r="7" spans="1:7" x14ac:dyDescent="0.25">
      <c r="A7" s="107" t="s">
        <v>391</v>
      </c>
      <c r="B7" s="107" t="s">
        <v>760</v>
      </c>
      <c r="C7" s="107" t="s">
        <v>392</v>
      </c>
      <c r="D7" s="107" t="s">
        <v>761</v>
      </c>
      <c r="E7" s="107"/>
      <c r="F7" s="107"/>
      <c r="G7" s="107"/>
    </row>
    <row r="8" spans="1:7" x14ac:dyDescent="0.25">
      <c r="A8" s="167" t="s">
        <v>438</v>
      </c>
      <c r="B8" s="172" t="s">
        <v>762</v>
      </c>
      <c r="C8" s="107" t="s">
        <v>692</v>
      </c>
      <c r="D8" s="169">
        <v>30</v>
      </c>
      <c r="E8" s="163"/>
      <c r="F8" s="163"/>
      <c r="G8" s="164"/>
    </row>
    <row r="9" spans="1:7" x14ac:dyDescent="0.25">
      <c r="A9" s="167" t="s">
        <v>433</v>
      </c>
      <c r="B9" s="172" t="s">
        <v>763</v>
      </c>
      <c r="C9" s="107" t="s">
        <v>692</v>
      </c>
      <c r="D9" s="170">
        <v>50</v>
      </c>
      <c r="E9" s="107"/>
      <c r="F9" s="107"/>
      <c r="G9" s="107"/>
    </row>
    <row r="10" spans="1:7" x14ac:dyDescent="0.25">
      <c r="A10" s="167" t="s">
        <v>429</v>
      </c>
      <c r="B10" s="172" t="s">
        <v>764</v>
      </c>
      <c r="C10" s="107" t="s">
        <v>692</v>
      </c>
      <c r="D10" s="170">
        <v>56</v>
      </c>
      <c r="E10" s="107"/>
      <c r="F10" s="107"/>
      <c r="G10" s="107"/>
    </row>
    <row r="11" spans="1:7" x14ac:dyDescent="0.25">
      <c r="A11" s="168" t="s">
        <v>399</v>
      </c>
      <c r="B11" s="173" t="s">
        <v>765</v>
      </c>
      <c r="C11" s="107" t="s">
        <v>692</v>
      </c>
      <c r="D11" s="171">
        <v>6</v>
      </c>
      <c r="E11" s="91"/>
      <c r="F11" s="91"/>
      <c r="G11" s="91"/>
    </row>
    <row r="12" spans="1:7" x14ac:dyDescent="0.25">
      <c r="A12" s="167" t="s">
        <v>403</v>
      </c>
      <c r="B12" s="172" t="s">
        <v>766</v>
      </c>
      <c r="C12" s="107" t="s">
        <v>692</v>
      </c>
      <c r="D12" s="170">
        <v>6</v>
      </c>
      <c r="E12" s="107"/>
      <c r="F12" s="107"/>
      <c r="G12" s="107"/>
    </row>
    <row r="13" spans="1:7" x14ac:dyDescent="0.25">
      <c r="A13" s="167" t="s">
        <v>393</v>
      </c>
      <c r="B13" s="172" t="s">
        <v>767</v>
      </c>
      <c r="C13" s="107" t="s">
        <v>692</v>
      </c>
      <c r="D13" s="170">
        <v>12</v>
      </c>
      <c r="E13" s="162"/>
      <c r="F13" s="162"/>
      <c r="G13" s="107"/>
    </row>
    <row r="14" spans="1:7" x14ac:dyDescent="0.25">
      <c r="A14" s="167" t="s">
        <v>449</v>
      </c>
      <c r="B14" s="172" t="s">
        <v>768</v>
      </c>
      <c r="C14" s="107" t="s">
        <v>692</v>
      </c>
      <c r="D14" s="170">
        <v>30</v>
      </c>
      <c r="E14" s="107"/>
      <c r="F14" s="107"/>
      <c r="G14" s="107"/>
    </row>
    <row r="15" spans="1:7" x14ac:dyDescent="0.25">
      <c r="A15" s="167" t="s">
        <v>453</v>
      </c>
      <c r="B15" s="172" t="s">
        <v>769</v>
      </c>
      <c r="C15" s="107" t="s">
        <v>692</v>
      </c>
      <c r="D15" s="169">
        <v>20</v>
      </c>
      <c r="E15" s="163"/>
      <c r="F15" s="163"/>
      <c r="G15" s="164"/>
    </row>
    <row r="16" spans="1:7" x14ac:dyDescent="0.25">
      <c r="A16" s="167" t="s">
        <v>413</v>
      </c>
      <c r="B16" s="172" t="s">
        <v>770</v>
      </c>
      <c r="C16" s="107" t="s">
        <v>692</v>
      </c>
      <c r="D16" s="170">
        <v>20</v>
      </c>
      <c r="E16" s="107"/>
      <c r="F16" s="107"/>
      <c r="G16" s="107"/>
    </row>
    <row r="17" spans="1:7" x14ac:dyDescent="0.25">
      <c r="A17" s="167" t="s">
        <v>756</v>
      </c>
      <c r="B17" s="172" t="s">
        <v>986</v>
      </c>
      <c r="C17" s="107" t="s">
        <v>692</v>
      </c>
      <c r="D17" s="170">
        <v>20</v>
      </c>
      <c r="E17" s="107"/>
      <c r="F17" s="107"/>
      <c r="G17" s="107"/>
    </row>
    <row r="18" spans="1:7" x14ac:dyDescent="0.25">
      <c r="A18" s="168" t="s">
        <v>417</v>
      </c>
      <c r="B18" s="173" t="s">
        <v>771</v>
      </c>
      <c r="C18" s="107" t="s">
        <v>692</v>
      </c>
      <c r="D18" s="171">
        <v>20</v>
      </c>
      <c r="E18" s="91"/>
      <c r="F18" s="91"/>
      <c r="G18" s="91"/>
    </row>
    <row r="19" spans="1:7" x14ac:dyDescent="0.25">
      <c r="A19" s="167" t="s">
        <v>412</v>
      </c>
      <c r="B19" s="172" t="s">
        <v>772</v>
      </c>
      <c r="C19" s="107" t="s">
        <v>692</v>
      </c>
      <c r="D19" s="170">
        <v>20</v>
      </c>
      <c r="E19" s="107"/>
      <c r="F19" s="107"/>
      <c r="G19" s="107"/>
    </row>
    <row r="20" spans="1:7" x14ac:dyDescent="0.25">
      <c r="A20" s="167" t="s">
        <v>420</v>
      </c>
      <c r="B20" s="172" t="s">
        <v>773</v>
      </c>
      <c r="C20" s="107" t="s">
        <v>692</v>
      </c>
      <c r="D20" s="170">
        <v>20</v>
      </c>
      <c r="E20" s="162"/>
      <c r="F20" s="162"/>
      <c r="G20" s="107"/>
    </row>
    <row r="21" spans="1:7" x14ac:dyDescent="0.25">
      <c r="A21" s="167" t="s">
        <v>483</v>
      </c>
      <c r="B21" s="172" t="s">
        <v>774</v>
      </c>
      <c r="C21" s="107" t="s">
        <v>692</v>
      </c>
      <c r="D21" s="170">
        <v>600</v>
      </c>
      <c r="E21" s="107"/>
      <c r="F21" s="107"/>
      <c r="G21" s="107"/>
    </row>
    <row r="22" spans="1:7" x14ac:dyDescent="0.25">
      <c r="A22" s="167" t="s">
        <v>462</v>
      </c>
      <c r="B22" s="172" t="s">
        <v>775</v>
      </c>
      <c r="C22" s="107" t="s">
        <v>692</v>
      </c>
      <c r="D22" s="169">
        <v>10</v>
      </c>
      <c r="E22" s="163"/>
      <c r="F22" s="163"/>
      <c r="G22" s="164"/>
    </row>
    <row r="23" spans="1:7" x14ac:dyDescent="0.25">
      <c r="A23" s="167" t="s">
        <v>459</v>
      </c>
      <c r="B23" s="172" t="s">
        <v>776</v>
      </c>
      <c r="C23" s="107" t="s">
        <v>692</v>
      </c>
      <c r="D23" s="170">
        <v>10</v>
      </c>
      <c r="E23" s="107"/>
      <c r="F23" s="107"/>
      <c r="G23" s="107"/>
    </row>
    <row r="24" spans="1:7" x14ac:dyDescent="0.25">
      <c r="A24" s="167" t="s">
        <v>595</v>
      </c>
      <c r="B24" s="172" t="s">
        <v>777</v>
      </c>
      <c r="C24" s="107" t="s">
        <v>692</v>
      </c>
      <c r="D24" s="170">
        <v>1</v>
      </c>
      <c r="E24" s="107"/>
      <c r="F24" s="107"/>
      <c r="G24" s="107"/>
    </row>
    <row r="25" spans="1:7" x14ac:dyDescent="0.25">
      <c r="A25" s="168" t="s">
        <v>513</v>
      </c>
      <c r="B25" s="173" t="s">
        <v>778</v>
      </c>
      <c r="C25" s="107" t="s">
        <v>692</v>
      </c>
      <c r="D25" s="171">
        <v>1</v>
      </c>
      <c r="E25" s="91"/>
      <c r="F25" s="91"/>
      <c r="G25" s="91"/>
    </row>
    <row r="26" spans="1:7" x14ac:dyDescent="0.25">
      <c r="A26" s="167" t="s">
        <v>554</v>
      </c>
      <c r="B26" s="172" t="s">
        <v>779</v>
      </c>
      <c r="C26" s="107" t="s">
        <v>692</v>
      </c>
      <c r="D26" s="170">
        <v>3000</v>
      </c>
      <c r="E26" s="107"/>
      <c r="F26" s="107"/>
      <c r="G26" s="107"/>
    </row>
    <row r="27" spans="1:7" x14ac:dyDescent="0.25">
      <c r="A27" s="167" t="s">
        <v>517</v>
      </c>
      <c r="B27" s="172" t="s">
        <v>780</v>
      </c>
      <c r="C27" s="107" t="s">
        <v>692</v>
      </c>
      <c r="D27" s="170">
        <v>600</v>
      </c>
      <c r="E27" s="162"/>
      <c r="F27" s="162"/>
      <c r="G27" s="107"/>
    </row>
    <row r="28" spans="1:7" x14ac:dyDescent="0.25">
      <c r="A28" s="107"/>
      <c r="B28" s="107"/>
      <c r="C28" s="107"/>
      <c r="D28" s="166"/>
      <c r="E28" s="107"/>
      <c r="F28" s="107"/>
      <c r="G28" s="107"/>
    </row>
    <row r="29" spans="1:7" x14ac:dyDescent="0.25">
      <c r="A29" s="107"/>
      <c r="B29" s="107"/>
      <c r="C29" s="107"/>
      <c r="D29" s="165"/>
      <c r="E29" s="163"/>
      <c r="F29" s="163"/>
      <c r="G29" s="164"/>
    </row>
    <row r="30" spans="1:7" x14ac:dyDescent="0.25">
      <c r="A30" s="107"/>
      <c r="B30" s="107"/>
      <c r="C30" s="107"/>
      <c r="D30" s="166"/>
      <c r="E30" s="107"/>
      <c r="F30" s="107"/>
      <c r="G30" s="107"/>
    </row>
    <row r="31" spans="1:7" x14ac:dyDescent="0.25">
      <c r="A31" s="107"/>
      <c r="B31" s="107"/>
      <c r="C31" s="107"/>
      <c r="D31" s="166"/>
      <c r="E31" s="107"/>
      <c r="F31" s="107"/>
      <c r="G31" s="107"/>
    </row>
    <row r="32" spans="1:7" x14ac:dyDescent="0.25">
      <c r="A32" s="91"/>
      <c r="B32" s="91"/>
      <c r="C32" s="91"/>
      <c r="D32" s="91"/>
      <c r="E32" s="91"/>
      <c r="F32" s="91"/>
      <c r="G32" s="91"/>
    </row>
    <row r="33" spans="1:7" x14ac:dyDescent="0.25">
      <c r="A33" s="161"/>
      <c r="B33" s="107"/>
      <c r="C33" s="107"/>
      <c r="D33" s="107"/>
      <c r="E33" s="107"/>
      <c r="F33" s="107"/>
      <c r="G33" s="107"/>
    </row>
    <row r="34" spans="1:7" x14ac:dyDescent="0.25">
      <c r="A34" s="107"/>
      <c r="B34" s="162"/>
      <c r="C34" s="107"/>
      <c r="D34" s="162"/>
      <c r="E34" s="162"/>
      <c r="F34" s="162"/>
      <c r="G34" s="107"/>
    </row>
    <row r="35" spans="1:7" x14ac:dyDescent="0.25">
      <c r="A35" s="107"/>
      <c r="B35" s="107"/>
      <c r="C35" s="107"/>
      <c r="D35" s="107"/>
      <c r="E35" s="107"/>
      <c r="F35" s="107"/>
      <c r="G35" s="107"/>
    </row>
    <row r="36" spans="1:7" x14ac:dyDescent="0.25">
      <c r="A36" s="107"/>
      <c r="B36" s="107"/>
      <c r="C36" s="107"/>
      <c r="D36" s="163"/>
      <c r="E36" s="163"/>
      <c r="F36" s="163"/>
      <c r="G36" s="164"/>
    </row>
    <row r="37" spans="1:7" x14ac:dyDescent="0.25">
      <c r="A37" s="107"/>
      <c r="B37" s="107"/>
      <c r="C37" s="107"/>
      <c r="D37" s="107"/>
      <c r="E37" s="107"/>
      <c r="F37" s="107"/>
      <c r="G37" s="107"/>
    </row>
    <row r="38" spans="1:7" x14ac:dyDescent="0.25">
      <c r="A38" s="107"/>
      <c r="B38" s="107"/>
      <c r="C38" s="107"/>
      <c r="D38" s="107"/>
      <c r="E38" s="107"/>
      <c r="F38" s="107"/>
      <c r="G38" s="107"/>
    </row>
    <row r="39" spans="1:7" x14ac:dyDescent="0.25">
      <c r="A39" s="91"/>
      <c r="B39" s="91"/>
      <c r="C39" s="91"/>
      <c r="D39" s="91"/>
      <c r="E39" s="91"/>
      <c r="F39" s="91"/>
      <c r="G39" s="91"/>
    </row>
    <row r="40" spans="1:7" x14ac:dyDescent="0.25">
      <c r="A40" s="161"/>
      <c r="B40" s="107"/>
      <c r="C40" s="107"/>
      <c r="D40" s="107"/>
      <c r="E40" s="107"/>
      <c r="F40" s="107"/>
      <c r="G40" s="107"/>
    </row>
    <row r="41" spans="1:7" x14ac:dyDescent="0.25">
      <c r="A41" s="107"/>
      <c r="B41" s="162"/>
      <c r="C41" s="107"/>
      <c r="D41" s="162"/>
      <c r="E41" s="162"/>
      <c r="F41" s="162"/>
      <c r="G41" s="107"/>
    </row>
    <row r="42" spans="1:7" x14ac:dyDescent="0.25">
      <c r="A42" s="107"/>
      <c r="B42" s="107"/>
      <c r="C42" s="107"/>
      <c r="D42" s="107"/>
      <c r="E42" s="107"/>
      <c r="F42" s="107"/>
      <c r="G42" s="107"/>
    </row>
    <row r="43" spans="1:7" x14ac:dyDescent="0.25">
      <c r="A43" s="107"/>
      <c r="B43" s="107"/>
      <c r="C43" s="107"/>
      <c r="D43" s="163"/>
      <c r="E43" s="163"/>
      <c r="F43" s="163"/>
      <c r="G43" s="164"/>
    </row>
    <row r="44" spans="1:7" x14ac:dyDescent="0.25">
      <c r="A44" s="107"/>
      <c r="B44" s="107"/>
      <c r="C44" s="107"/>
      <c r="D44" s="107"/>
      <c r="E44" s="107"/>
      <c r="F44" s="107"/>
      <c r="G44" s="107"/>
    </row>
    <row r="45" spans="1:7" x14ac:dyDescent="0.25">
      <c r="A45" s="107"/>
      <c r="B45" s="107"/>
      <c r="C45" s="107"/>
      <c r="D45" s="107"/>
      <c r="E45" s="107"/>
      <c r="F45" s="107"/>
      <c r="G45" s="107"/>
    </row>
    <row r="46" spans="1:7" x14ac:dyDescent="0.25">
      <c r="A46" s="91"/>
      <c r="B46" s="91"/>
      <c r="C46" s="91"/>
      <c r="D46" s="91"/>
      <c r="E46" s="91"/>
      <c r="F46" s="91"/>
      <c r="G46" s="91"/>
    </row>
    <row r="47" spans="1:7" x14ac:dyDescent="0.25">
      <c r="A47" s="91"/>
      <c r="B47" s="91"/>
      <c r="C47" s="91"/>
      <c r="D47" s="91"/>
      <c r="E47" s="91"/>
      <c r="F47" s="91"/>
      <c r="G47" s="91"/>
    </row>
    <row r="48" spans="1:7" x14ac:dyDescent="0.25">
      <c r="A48" s="91"/>
      <c r="B48" s="91"/>
      <c r="C48" s="91"/>
      <c r="D48" s="91"/>
      <c r="E48" s="91"/>
      <c r="F48" s="91"/>
      <c r="G48" s="91"/>
    </row>
    <row r="49" spans="1:7" x14ac:dyDescent="0.25">
      <c r="A49" s="91"/>
      <c r="B49" s="91"/>
      <c r="C49" s="91"/>
      <c r="D49" s="91"/>
      <c r="E49" s="91"/>
      <c r="F49" s="91"/>
      <c r="G49" s="91"/>
    </row>
    <row r="50" spans="1:7" x14ac:dyDescent="0.25">
      <c r="A50" s="91"/>
      <c r="B50" s="91"/>
      <c r="C50" s="91"/>
      <c r="D50" s="91"/>
      <c r="E50" s="91"/>
      <c r="F50" s="91"/>
      <c r="G50" s="91"/>
    </row>
    <row r="51" spans="1:7" x14ac:dyDescent="0.25">
      <c r="A51" s="91"/>
      <c r="B51" s="91"/>
      <c r="C51" s="91"/>
      <c r="D51" s="91"/>
      <c r="E51" s="91"/>
      <c r="F51" s="91"/>
      <c r="G51" s="91"/>
    </row>
    <row r="52" spans="1:7" x14ac:dyDescent="0.25">
      <c r="A52" s="91"/>
      <c r="B52" s="91"/>
      <c r="C52" s="91"/>
      <c r="D52" s="91"/>
      <c r="E52" s="91"/>
      <c r="F52" s="91"/>
      <c r="G52" s="91"/>
    </row>
    <row r="53" spans="1:7" x14ac:dyDescent="0.25">
      <c r="A53" s="91"/>
      <c r="B53" s="91"/>
      <c r="C53" s="91"/>
      <c r="D53" s="91"/>
      <c r="E53" s="91"/>
      <c r="F53" s="91"/>
      <c r="G53" s="91"/>
    </row>
    <row r="54" spans="1:7" x14ac:dyDescent="0.25">
      <c r="A54" s="91"/>
      <c r="B54" s="91"/>
      <c r="C54" s="91"/>
      <c r="D54" s="91"/>
      <c r="E54" s="91"/>
      <c r="F54" s="91"/>
      <c r="G54" s="91"/>
    </row>
    <row r="55" spans="1:7" x14ac:dyDescent="0.25">
      <c r="A55" s="91"/>
      <c r="B55" s="91"/>
      <c r="C55" s="91"/>
      <c r="D55" s="91"/>
      <c r="E55" s="91"/>
      <c r="F55" s="91"/>
      <c r="G55" s="91"/>
    </row>
    <row r="56" spans="1:7" x14ac:dyDescent="0.25">
      <c r="A56" s="91"/>
      <c r="B56" s="91"/>
      <c r="C56" s="91"/>
      <c r="D56" s="91"/>
      <c r="E56" s="91"/>
      <c r="F56" s="91"/>
      <c r="G56" s="91"/>
    </row>
    <row r="57" spans="1:7" x14ac:dyDescent="0.25">
      <c r="A57" s="91"/>
      <c r="B57" s="91"/>
      <c r="C57" s="91"/>
      <c r="D57" s="91"/>
      <c r="E57" s="91"/>
      <c r="F57" s="91"/>
      <c r="G57" s="91"/>
    </row>
    <row r="58" spans="1:7" x14ac:dyDescent="0.25">
      <c r="A58" s="91"/>
      <c r="B58" s="91"/>
      <c r="C58" s="91"/>
      <c r="D58" s="91"/>
      <c r="E58" s="91"/>
      <c r="F58" s="91"/>
      <c r="G58" s="91"/>
    </row>
    <row r="59" spans="1:7" x14ac:dyDescent="0.25">
      <c r="A59" s="91"/>
      <c r="B59" s="91"/>
      <c r="C59" s="91"/>
      <c r="D59" s="91"/>
      <c r="E59" s="91"/>
      <c r="F59" s="91"/>
      <c r="G59" s="91"/>
    </row>
    <row r="60" spans="1:7" x14ac:dyDescent="0.25">
      <c r="A60" s="91"/>
      <c r="B60" s="91"/>
      <c r="C60" s="91"/>
      <c r="D60" s="91"/>
      <c r="E60" s="91"/>
      <c r="F60" s="91"/>
      <c r="G60" s="91"/>
    </row>
    <row r="61" spans="1:7" x14ac:dyDescent="0.25">
      <c r="A61" s="91"/>
      <c r="B61" s="91"/>
      <c r="C61" s="91"/>
      <c r="D61" s="91"/>
      <c r="E61" s="91"/>
      <c r="F61" s="91"/>
      <c r="G61" s="91"/>
    </row>
    <row r="62" spans="1:7" x14ac:dyDescent="0.25">
      <c r="A62" s="91"/>
      <c r="B62" s="91"/>
      <c r="C62" s="91"/>
      <c r="D62" s="91"/>
      <c r="E62" s="91"/>
      <c r="F62" s="91"/>
      <c r="G62" s="91"/>
    </row>
    <row r="63" spans="1:7" x14ac:dyDescent="0.25">
      <c r="A63" s="91"/>
      <c r="B63" s="91"/>
      <c r="C63" s="91"/>
      <c r="D63" s="91"/>
      <c r="E63" s="91"/>
      <c r="F63" s="91"/>
      <c r="G63" s="91"/>
    </row>
    <row r="64" spans="1:7" x14ac:dyDescent="0.25">
      <c r="A64" s="91"/>
      <c r="B64" s="91"/>
      <c r="C64" s="91"/>
      <c r="D64" s="91"/>
      <c r="E64" s="91"/>
      <c r="F64" s="91"/>
      <c r="G64" s="91"/>
    </row>
    <row r="65" spans="1:7" x14ac:dyDescent="0.25">
      <c r="A65" s="91"/>
      <c r="B65" s="91"/>
      <c r="C65" s="91"/>
      <c r="D65" s="91"/>
      <c r="E65" s="91"/>
      <c r="F65" s="91"/>
      <c r="G65" s="91"/>
    </row>
    <row r="66" spans="1:7" x14ac:dyDescent="0.25">
      <c r="A66" s="91"/>
      <c r="B66" s="91"/>
      <c r="C66" s="91"/>
      <c r="D66" s="91"/>
      <c r="E66" s="91"/>
      <c r="F66" s="91"/>
      <c r="G66" s="91"/>
    </row>
    <row r="67" spans="1:7" x14ac:dyDescent="0.25">
      <c r="A67" s="91"/>
      <c r="B67" s="91"/>
      <c r="C67" s="91"/>
      <c r="D67" s="91"/>
      <c r="E67" s="91"/>
      <c r="F67" s="91"/>
      <c r="G67" s="91"/>
    </row>
    <row r="68" spans="1:7" x14ac:dyDescent="0.25">
      <c r="A68" s="91"/>
      <c r="B68" s="91"/>
      <c r="C68" s="91"/>
      <c r="D68" s="91"/>
      <c r="E68" s="91"/>
      <c r="F68" s="91"/>
      <c r="G68" s="91"/>
    </row>
    <row r="69" spans="1:7" x14ac:dyDescent="0.25">
      <c r="A69" s="91"/>
      <c r="B69" s="91"/>
      <c r="C69" s="91"/>
      <c r="D69" s="91"/>
      <c r="E69" s="91"/>
      <c r="F69" s="91"/>
      <c r="G69" s="91"/>
    </row>
    <row r="70" spans="1:7" x14ac:dyDescent="0.25">
      <c r="A70" s="91"/>
      <c r="B70" s="91"/>
      <c r="C70" s="91"/>
      <c r="D70" s="91"/>
      <c r="E70" s="91"/>
      <c r="F70" s="91"/>
      <c r="G70" s="91"/>
    </row>
    <row r="71" spans="1:7" x14ac:dyDescent="0.25">
      <c r="A71" s="91"/>
      <c r="B71" s="91"/>
      <c r="C71" s="91"/>
      <c r="D71" s="91"/>
      <c r="E71" s="91"/>
      <c r="F71" s="91"/>
      <c r="G71" s="91"/>
    </row>
    <row r="72" spans="1:7" x14ac:dyDescent="0.25">
      <c r="A72" s="91"/>
      <c r="B72" s="91"/>
      <c r="C72" s="91"/>
      <c r="D72" s="91"/>
      <c r="E72" s="91"/>
      <c r="F72" s="91"/>
      <c r="G72" s="91"/>
    </row>
    <row r="73" spans="1:7" x14ac:dyDescent="0.25">
      <c r="A73" s="91"/>
      <c r="B73" s="91"/>
      <c r="C73" s="91"/>
      <c r="D73" s="91"/>
      <c r="E73" s="91"/>
      <c r="F73" s="91"/>
      <c r="G73" s="91"/>
    </row>
    <row r="74" spans="1:7" x14ac:dyDescent="0.25">
      <c r="A74" s="91"/>
      <c r="B74" s="91"/>
      <c r="C74" s="91"/>
      <c r="D74" s="91"/>
      <c r="E74" s="91"/>
      <c r="F74" s="91"/>
      <c r="G74" s="91"/>
    </row>
    <row r="75" spans="1:7" x14ac:dyDescent="0.25">
      <c r="A75" s="91"/>
      <c r="B75" s="91"/>
      <c r="C75" s="91"/>
      <c r="D75" s="91"/>
      <c r="E75" s="91"/>
      <c r="F75" s="91"/>
      <c r="G75" s="91"/>
    </row>
    <row r="76" spans="1:7" x14ac:dyDescent="0.25">
      <c r="A76" s="91"/>
      <c r="B76" s="91"/>
      <c r="C76" s="91"/>
      <c r="D76" s="91"/>
      <c r="E76" s="91"/>
      <c r="F76" s="91"/>
      <c r="G76" s="91"/>
    </row>
    <row r="77" spans="1:7" x14ac:dyDescent="0.25">
      <c r="A77" s="91"/>
      <c r="B77" s="91"/>
      <c r="C77" s="91"/>
      <c r="D77" s="91"/>
      <c r="E77" s="91"/>
      <c r="F77" s="91"/>
      <c r="G77" s="91"/>
    </row>
    <row r="78" spans="1:7" x14ac:dyDescent="0.25">
      <c r="A78" s="91"/>
      <c r="B78" s="91"/>
      <c r="C78" s="91"/>
      <c r="D78" s="91"/>
      <c r="E78" s="91"/>
      <c r="F78" s="91"/>
      <c r="G78" s="91"/>
    </row>
    <row r="79" spans="1:7" x14ac:dyDescent="0.25">
      <c r="A79" s="91"/>
      <c r="B79" s="91"/>
      <c r="C79" s="91"/>
      <c r="D79" s="91"/>
      <c r="E79" s="91"/>
      <c r="F79" s="91"/>
      <c r="G79" s="91"/>
    </row>
    <row r="80" spans="1:7" x14ac:dyDescent="0.25">
      <c r="A80" s="91"/>
      <c r="B80" s="91"/>
      <c r="C80" s="91"/>
      <c r="D80" s="91"/>
      <c r="E80" s="91"/>
      <c r="F80" s="91"/>
      <c r="G80" s="91"/>
    </row>
    <row r="81" spans="1:7" x14ac:dyDescent="0.25">
      <c r="A81" s="91"/>
      <c r="B81" s="91"/>
      <c r="C81" s="91"/>
      <c r="D81" s="91"/>
      <c r="E81" s="91"/>
      <c r="F81" s="91"/>
      <c r="G81" s="91"/>
    </row>
    <row r="82" spans="1:7" x14ac:dyDescent="0.25">
      <c r="A82" s="91"/>
      <c r="B82" s="91"/>
      <c r="C82" s="91"/>
      <c r="D82" s="91"/>
      <c r="E82" s="91"/>
      <c r="F82" s="91"/>
      <c r="G82" s="91"/>
    </row>
    <row r="83" spans="1:7" x14ac:dyDescent="0.25">
      <c r="A83" s="91"/>
      <c r="B83" s="91"/>
      <c r="C83" s="91"/>
      <c r="D83" s="91"/>
      <c r="E83" s="91"/>
      <c r="F83" s="91"/>
      <c r="G83" s="91"/>
    </row>
    <row r="84" spans="1:7" x14ac:dyDescent="0.25">
      <c r="A84" s="91"/>
      <c r="B84" s="91"/>
      <c r="C84" s="91"/>
      <c r="D84" s="91"/>
      <c r="E84" s="91"/>
      <c r="F84" s="91"/>
      <c r="G84" s="91"/>
    </row>
    <row r="85" spans="1:7" x14ac:dyDescent="0.25">
      <c r="A85" s="91"/>
      <c r="B85" s="91"/>
      <c r="C85" s="91"/>
      <c r="D85" s="91"/>
      <c r="E85" s="91"/>
      <c r="F85" s="91"/>
      <c r="G85" s="91"/>
    </row>
    <row r="86" spans="1:7" x14ac:dyDescent="0.25">
      <c r="A86" s="91"/>
      <c r="B86" s="91"/>
      <c r="C86" s="91"/>
      <c r="D86" s="91"/>
      <c r="E86" s="91"/>
      <c r="F86" s="91"/>
      <c r="G86" s="91"/>
    </row>
    <row r="87" spans="1:7" x14ac:dyDescent="0.25">
      <c r="A87" s="91"/>
      <c r="B87" s="91"/>
      <c r="C87" s="91"/>
      <c r="D87" s="91"/>
      <c r="E87" s="91"/>
      <c r="F87" s="91"/>
      <c r="G87" s="91"/>
    </row>
    <row r="88" spans="1:7" x14ac:dyDescent="0.25">
      <c r="A88" s="91"/>
      <c r="B88" s="91"/>
      <c r="C88" s="91"/>
      <c r="D88" s="91"/>
      <c r="E88" s="91"/>
      <c r="F88" s="91"/>
      <c r="G88" s="91"/>
    </row>
    <row r="89" spans="1:7" x14ac:dyDescent="0.25">
      <c r="A89" s="91"/>
      <c r="B89" s="91"/>
      <c r="C89" s="91"/>
      <c r="D89" s="91"/>
      <c r="E89" s="91"/>
      <c r="F89" s="91"/>
      <c r="G89" s="91"/>
    </row>
    <row r="90" spans="1:7" x14ac:dyDescent="0.25">
      <c r="A90" s="91"/>
      <c r="B90" s="91"/>
      <c r="C90" s="91"/>
      <c r="D90" s="91"/>
      <c r="E90" s="91"/>
      <c r="F90" s="91"/>
      <c r="G90" s="91"/>
    </row>
    <row r="91" spans="1:7" x14ac:dyDescent="0.25">
      <c r="A91" s="91"/>
      <c r="B91" s="91"/>
      <c r="C91" s="91"/>
      <c r="D91" s="91"/>
      <c r="E91" s="91"/>
      <c r="F91" s="91"/>
      <c r="G91" s="91"/>
    </row>
    <row r="92" spans="1:7" x14ac:dyDescent="0.25">
      <c r="A92" s="91"/>
      <c r="B92" s="91"/>
      <c r="C92" s="91"/>
      <c r="D92" s="91"/>
      <c r="E92" s="91"/>
      <c r="F92" s="91"/>
      <c r="G92" s="91"/>
    </row>
    <row r="93" spans="1:7" x14ac:dyDescent="0.25">
      <c r="A93" s="91"/>
      <c r="B93" s="91"/>
      <c r="C93" s="91"/>
      <c r="D93" s="91"/>
      <c r="E93" s="91"/>
      <c r="F93" s="91"/>
      <c r="G93" s="91"/>
    </row>
    <row r="94" spans="1:7" x14ac:dyDescent="0.25">
      <c r="A94" s="91"/>
      <c r="B94" s="91"/>
      <c r="C94" s="91"/>
      <c r="D94" s="91"/>
      <c r="E94" s="91"/>
      <c r="F94" s="91"/>
      <c r="G94" s="91"/>
    </row>
    <row r="95" spans="1:7" x14ac:dyDescent="0.25">
      <c r="A95" s="91"/>
      <c r="B95" s="91"/>
      <c r="C95" s="91"/>
      <c r="D95" s="91"/>
      <c r="E95" s="91"/>
      <c r="F95" s="91"/>
      <c r="G95" s="91"/>
    </row>
    <row r="96" spans="1:7" x14ac:dyDescent="0.25">
      <c r="A96" s="91"/>
      <c r="B96" s="91"/>
      <c r="C96" s="91"/>
      <c r="D96" s="91"/>
      <c r="E96" s="91"/>
      <c r="F96" s="91"/>
      <c r="G96" s="91"/>
    </row>
    <row r="97" spans="1:7" x14ac:dyDescent="0.25">
      <c r="A97" s="91"/>
      <c r="B97" s="91"/>
      <c r="C97" s="91"/>
      <c r="D97" s="91"/>
      <c r="E97" s="91"/>
      <c r="F97" s="91"/>
      <c r="G97" s="91"/>
    </row>
    <row r="98" spans="1:7" x14ac:dyDescent="0.25">
      <c r="A98" s="91"/>
      <c r="B98" s="91"/>
      <c r="C98" s="91"/>
      <c r="D98" s="91"/>
      <c r="E98" s="91"/>
      <c r="F98" s="91"/>
      <c r="G98" s="91"/>
    </row>
    <row r="99" spans="1:7" x14ac:dyDescent="0.25">
      <c r="A99" s="91"/>
      <c r="B99" s="91"/>
      <c r="C99" s="91"/>
      <c r="D99" s="91"/>
      <c r="E99" s="91"/>
      <c r="F99" s="91"/>
      <c r="G99" s="91"/>
    </row>
    <row r="100" spans="1:7" x14ac:dyDescent="0.25">
      <c r="A100" s="91"/>
      <c r="B100" s="91"/>
      <c r="C100" s="91"/>
      <c r="D100" s="91"/>
      <c r="E100" s="91"/>
      <c r="F100" s="91"/>
      <c r="G100" s="91"/>
    </row>
    <row r="101" spans="1:7" x14ac:dyDescent="0.25">
      <c r="A101" s="91"/>
      <c r="B101" s="91"/>
      <c r="C101" s="91"/>
      <c r="D101" s="91"/>
      <c r="E101" s="91"/>
      <c r="F101" s="91"/>
      <c r="G101" s="91"/>
    </row>
    <row r="102" spans="1:7" x14ac:dyDescent="0.25">
      <c r="A102" s="91"/>
      <c r="B102" s="91"/>
      <c r="C102" s="91"/>
      <c r="D102" s="91"/>
      <c r="E102" s="91"/>
      <c r="F102" s="91"/>
      <c r="G102" s="91"/>
    </row>
    <row r="103" spans="1:7" x14ac:dyDescent="0.25">
      <c r="A103" s="91"/>
      <c r="B103" s="91"/>
      <c r="C103" s="91"/>
      <c r="D103" s="91"/>
      <c r="E103" s="91"/>
      <c r="F103" s="91"/>
      <c r="G103" s="91"/>
    </row>
    <row r="104" spans="1:7" x14ac:dyDescent="0.25">
      <c r="A104" s="91"/>
      <c r="B104" s="91"/>
      <c r="C104" s="91"/>
      <c r="D104" s="91"/>
      <c r="E104" s="91"/>
      <c r="F104" s="91"/>
      <c r="G104" s="91"/>
    </row>
    <row r="105" spans="1:7" x14ac:dyDescent="0.25">
      <c r="A105" s="91"/>
      <c r="B105" s="91"/>
      <c r="C105" s="91"/>
      <c r="D105" s="91"/>
      <c r="E105" s="91"/>
      <c r="F105" s="91"/>
      <c r="G105" s="91"/>
    </row>
    <row r="106" spans="1:7" x14ac:dyDescent="0.25">
      <c r="A106" s="91"/>
      <c r="B106" s="91"/>
      <c r="C106" s="91"/>
      <c r="D106" s="91"/>
      <c r="E106" s="91"/>
      <c r="F106" s="91"/>
      <c r="G106" s="91"/>
    </row>
    <row r="107" spans="1:7" x14ac:dyDescent="0.25">
      <c r="A107" s="91"/>
      <c r="B107" s="91"/>
      <c r="C107" s="91"/>
      <c r="D107" s="91"/>
      <c r="E107" s="91"/>
      <c r="F107" s="91"/>
      <c r="G107" s="91"/>
    </row>
    <row r="108" spans="1:7" x14ac:dyDescent="0.25">
      <c r="A108" s="91"/>
      <c r="B108" s="91"/>
      <c r="C108" s="91"/>
      <c r="D108" s="91"/>
      <c r="E108" s="91"/>
      <c r="F108" s="91"/>
      <c r="G108" s="91"/>
    </row>
    <row r="109" spans="1:7" x14ac:dyDescent="0.25">
      <c r="A109" s="91"/>
      <c r="B109" s="91"/>
      <c r="C109" s="91"/>
      <c r="D109" s="91"/>
      <c r="E109" s="91"/>
      <c r="F109" s="91"/>
      <c r="G109" s="91"/>
    </row>
    <row r="110" spans="1:7" x14ac:dyDescent="0.25">
      <c r="A110" s="91"/>
      <c r="B110" s="91"/>
      <c r="C110" s="91"/>
      <c r="D110" s="91"/>
      <c r="E110" s="91"/>
      <c r="F110" s="91"/>
      <c r="G110" s="91"/>
    </row>
    <row r="111" spans="1:7" x14ac:dyDescent="0.25">
      <c r="A111" s="91"/>
      <c r="B111" s="91"/>
      <c r="C111" s="91"/>
      <c r="D111" s="91"/>
      <c r="E111" s="91"/>
      <c r="F111" s="91"/>
      <c r="G111" s="91"/>
    </row>
    <row r="112" spans="1:7" x14ac:dyDescent="0.25">
      <c r="A112" s="91"/>
      <c r="B112" s="91"/>
      <c r="C112" s="91"/>
      <c r="D112" s="91"/>
      <c r="E112" s="91"/>
      <c r="F112" s="91"/>
      <c r="G112" s="91"/>
    </row>
    <row r="113" spans="1:7" x14ac:dyDescent="0.25">
      <c r="A113" s="91"/>
      <c r="B113" s="91"/>
      <c r="C113" s="91"/>
      <c r="D113" s="91"/>
      <c r="E113" s="91"/>
      <c r="F113" s="91"/>
      <c r="G113" s="91"/>
    </row>
    <row r="114" spans="1:7" x14ac:dyDescent="0.25">
      <c r="A114" s="91"/>
      <c r="B114" s="91"/>
      <c r="C114" s="91"/>
      <c r="D114" s="91"/>
      <c r="E114" s="91"/>
      <c r="F114" s="91"/>
      <c r="G114" s="91"/>
    </row>
    <row r="115" spans="1:7" x14ac:dyDescent="0.25">
      <c r="A115" s="91"/>
      <c r="B115" s="91"/>
      <c r="C115" s="91"/>
      <c r="D115" s="91"/>
      <c r="E115" s="91"/>
      <c r="F115" s="91"/>
      <c r="G115" s="91"/>
    </row>
    <row r="116" spans="1:7" x14ac:dyDescent="0.25">
      <c r="A116" s="91"/>
      <c r="B116" s="91"/>
      <c r="C116" s="91"/>
      <c r="D116" s="91"/>
      <c r="E116" s="91"/>
      <c r="F116" s="91"/>
      <c r="G116" s="91"/>
    </row>
    <row r="117" spans="1:7" x14ac:dyDescent="0.25">
      <c r="A117" s="91"/>
      <c r="B117" s="91"/>
      <c r="C117" s="91"/>
      <c r="D117" s="91"/>
      <c r="E117" s="91"/>
      <c r="F117" s="91"/>
      <c r="G117" s="91"/>
    </row>
    <row r="118" spans="1:7" x14ac:dyDescent="0.25">
      <c r="A118" s="91"/>
      <c r="B118" s="91"/>
      <c r="C118" s="91"/>
      <c r="D118" s="91"/>
      <c r="E118" s="91"/>
      <c r="F118" s="91"/>
      <c r="G118" s="91"/>
    </row>
    <row r="119" spans="1:7" x14ac:dyDescent="0.25">
      <c r="A119" s="91"/>
      <c r="B119" s="91"/>
      <c r="C119" s="91"/>
      <c r="D119" s="91"/>
      <c r="E119" s="91"/>
      <c r="F119" s="91"/>
      <c r="G119" s="91"/>
    </row>
    <row r="120" spans="1:7" x14ac:dyDescent="0.25">
      <c r="A120" s="91"/>
      <c r="B120" s="91"/>
      <c r="C120" s="91"/>
      <c r="D120" s="91"/>
      <c r="E120" s="91"/>
      <c r="F120" s="91"/>
      <c r="G120" s="91"/>
    </row>
    <row r="121" spans="1:7" x14ac:dyDescent="0.25">
      <c r="A121" s="91"/>
      <c r="B121" s="91"/>
      <c r="C121" s="91"/>
      <c r="D121" s="91"/>
      <c r="E121" s="91"/>
      <c r="F121" s="91"/>
      <c r="G121" s="91"/>
    </row>
    <row r="122" spans="1:7" x14ac:dyDescent="0.25">
      <c r="A122" s="91"/>
      <c r="B122" s="91"/>
      <c r="C122" s="91"/>
      <c r="D122" s="91"/>
      <c r="E122" s="91"/>
      <c r="F122" s="91"/>
      <c r="G122" s="91"/>
    </row>
    <row r="123" spans="1:7" x14ac:dyDescent="0.25">
      <c r="A123" s="91"/>
      <c r="B123" s="91"/>
      <c r="C123" s="91"/>
      <c r="D123" s="91"/>
      <c r="E123" s="91"/>
      <c r="F123" s="91"/>
      <c r="G123" s="91"/>
    </row>
    <row r="124" spans="1:7" x14ac:dyDescent="0.25">
      <c r="A124" s="91"/>
      <c r="B124" s="91"/>
      <c r="C124" s="91"/>
      <c r="D124" s="91"/>
      <c r="E124" s="91"/>
      <c r="F124" s="91"/>
      <c r="G124" s="91"/>
    </row>
    <row r="125" spans="1:7" x14ac:dyDescent="0.25">
      <c r="A125" s="91"/>
      <c r="B125" s="91"/>
      <c r="C125" s="91"/>
      <c r="D125" s="91"/>
      <c r="E125" s="91"/>
      <c r="F125" s="91"/>
      <c r="G125" s="91"/>
    </row>
    <row r="126" spans="1:7" x14ac:dyDescent="0.25">
      <c r="A126" s="91"/>
      <c r="B126" s="91"/>
      <c r="C126" s="91"/>
      <c r="D126" s="91"/>
      <c r="E126" s="91"/>
      <c r="F126" s="91"/>
      <c r="G126" s="91"/>
    </row>
    <row r="127" spans="1:7" x14ac:dyDescent="0.25">
      <c r="A127" s="91"/>
      <c r="B127" s="91"/>
      <c r="C127" s="91"/>
      <c r="D127" s="91"/>
      <c r="E127" s="91"/>
      <c r="F127" s="91"/>
      <c r="G127" s="91"/>
    </row>
    <row r="128" spans="1:7" x14ac:dyDescent="0.25">
      <c r="A128" s="91"/>
      <c r="B128" s="91"/>
      <c r="C128" s="91"/>
      <c r="D128" s="91"/>
      <c r="E128" s="91"/>
      <c r="F128" s="91"/>
      <c r="G128" s="91"/>
    </row>
    <row r="129" spans="1:7" x14ac:dyDescent="0.25">
      <c r="A129" s="91"/>
      <c r="B129" s="91"/>
      <c r="C129" s="91"/>
      <c r="D129" s="91"/>
      <c r="E129" s="91"/>
      <c r="F129" s="91"/>
      <c r="G129" s="91"/>
    </row>
    <row r="130" spans="1:7" x14ac:dyDescent="0.25">
      <c r="A130" s="91"/>
      <c r="B130" s="91"/>
      <c r="C130" s="91"/>
      <c r="D130" s="91"/>
      <c r="E130" s="91"/>
      <c r="F130" s="91"/>
      <c r="G130" s="91"/>
    </row>
    <row r="131" spans="1:7" x14ac:dyDescent="0.25">
      <c r="A131" s="91"/>
      <c r="B131" s="91"/>
      <c r="C131" s="91"/>
      <c r="D131" s="91"/>
      <c r="E131" s="91"/>
      <c r="F131" s="91"/>
      <c r="G131" s="91"/>
    </row>
    <row r="132" spans="1:7" x14ac:dyDescent="0.25">
      <c r="A132" s="91"/>
      <c r="B132" s="91"/>
      <c r="C132" s="91"/>
      <c r="D132" s="91"/>
      <c r="E132" s="91"/>
      <c r="F132" s="91"/>
      <c r="G132" s="91"/>
    </row>
    <row r="133" spans="1:7" x14ac:dyDescent="0.25">
      <c r="A133" s="91"/>
      <c r="B133" s="91"/>
      <c r="C133" s="91"/>
      <c r="D133" s="91"/>
      <c r="E133" s="91"/>
      <c r="F133" s="91"/>
      <c r="G133" s="91"/>
    </row>
    <row r="134" spans="1:7" x14ac:dyDescent="0.25">
      <c r="A134" s="91"/>
      <c r="B134" s="91"/>
      <c r="C134" s="91"/>
      <c r="D134" s="91"/>
      <c r="E134" s="91"/>
      <c r="F134" s="91"/>
      <c r="G134" s="91"/>
    </row>
    <row r="135" spans="1:7" x14ac:dyDescent="0.25">
      <c r="A135" s="91"/>
      <c r="B135" s="91"/>
      <c r="C135" s="91"/>
      <c r="D135" s="91"/>
      <c r="E135" s="91"/>
      <c r="F135" s="91"/>
      <c r="G135" s="91"/>
    </row>
    <row r="136" spans="1:7" x14ac:dyDescent="0.25">
      <c r="A136" s="91"/>
      <c r="B136" s="91"/>
      <c r="C136" s="91"/>
      <c r="D136" s="91"/>
      <c r="E136" s="91"/>
      <c r="F136" s="91"/>
      <c r="G136" s="91"/>
    </row>
    <row r="137" spans="1:7" x14ac:dyDescent="0.25">
      <c r="A137" s="91"/>
      <c r="B137" s="91"/>
      <c r="C137" s="91"/>
      <c r="D137" s="91"/>
      <c r="E137" s="91"/>
      <c r="F137" s="91"/>
      <c r="G137" s="91"/>
    </row>
    <row r="138" spans="1:7" x14ac:dyDescent="0.25">
      <c r="A138" s="91"/>
      <c r="B138" s="91"/>
      <c r="C138" s="91"/>
      <c r="D138" s="91"/>
      <c r="E138" s="91"/>
      <c r="F138" s="91"/>
      <c r="G138" s="91"/>
    </row>
    <row r="139" spans="1:7" x14ac:dyDescent="0.25">
      <c r="A139" s="91"/>
      <c r="B139" s="91"/>
      <c r="C139" s="91"/>
      <c r="D139" s="91"/>
      <c r="E139" s="91"/>
      <c r="F139" s="91"/>
      <c r="G139" s="91"/>
    </row>
    <row r="140" spans="1:7" x14ac:dyDescent="0.25">
      <c r="A140" s="91"/>
      <c r="B140" s="91"/>
      <c r="C140" s="91"/>
      <c r="D140" s="91"/>
      <c r="E140" s="91"/>
      <c r="F140" s="91"/>
      <c r="G140" s="91"/>
    </row>
    <row r="141" spans="1:7" x14ac:dyDescent="0.25">
      <c r="A141" s="91"/>
      <c r="B141" s="91"/>
      <c r="C141" s="91"/>
      <c r="D141" s="91"/>
      <c r="E141" s="91"/>
      <c r="F141" s="91"/>
      <c r="G141" s="91"/>
    </row>
    <row r="142" spans="1:7" x14ac:dyDescent="0.25">
      <c r="A142" s="91"/>
      <c r="B142" s="91"/>
      <c r="C142" s="91"/>
      <c r="D142" s="91"/>
      <c r="E142" s="91"/>
      <c r="F142" s="91"/>
      <c r="G142" s="91"/>
    </row>
    <row r="143" spans="1:7" x14ac:dyDescent="0.25">
      <c r="A143" s="91"/>
      <c r="B143" s="91"/>
      <c r="C143" s="91"/>
      <c r="D143" s="91"/>
      <c r="E143" s="91"/>
      <c r="F143" s="91"/>
      <c r="G143" s="91"/>
    </row>
    <row r="144" spans="1:7" x14ac:dyDescent="0.25">
      <c r="A144" s="91"/>
      <c r="B144" s="91"/>
      <c r="C144" s="91"/>
      <c r="D144" s="91"/>
      <c r="E144" s="91"/>
      <c r="F144" s="91"/>
      <c r="G144" s="91"/>
    </row>
    <row r="145" spans="1:7" x14ac:dyDescent="0.25">
      <c r="A145" s="91"/>
      <c r="B145" s="91"/>
      <c r="C145" s="91"/>
      <c r="D145" s="91"/>
      <c r="E145" s="91"/>
      <c r="F145" s="91"/>
      <c r="G145" s="91"/>
    </row>
    <row r="146" spans="1:7" x14ac:dyDescent="0.25">
      <c r="A146" s="91"/>
      <c r="B146" s="91"/>
      <c r="C146" s="91"/>
      <c r="D146" s="91"/>
      <c r="E146" s="91"/>
      <c r="F146" s="91"/>
      <c r="G146" s="91"/>
    </row>
    <row r="147" spans="1:7" x14ac:dyDescent="0.25">
      <c r="A147" s="91"/>
      <c r="B147" s="91"/>
      <c r="C147" s="91"/>
      <c r="D147" s="91"/>
      <c r="E147" s="91"/>
      <c r="F147" s="91"/>
      <c r="G147" s="91"/>
    </row>
    <row r="148" spans="1:7" x14ac:dyDescent="0.25">
      <c r="A148" s="91"/>
      <c r="B148" s="91"/>
      <c r="C148" s="91"/>
      <c r="D148" s="91"/>
      <c r="E148" s="91"/>
      <c r="F148" s="91"/>
      <c r="G148" s="91"/>
    </row>
    <row r="149" spans="1:7" x14ac:dyDescent="0.25">
      <c r="A149" s="91"/>
      <c r="B149" s="91"/>
      <c r="C149" s="91"/>
      <c r="D149" s="91"/>
      <c r="E149" s="91"/>
      <c r="F149" s="91"/>
      <c r="G149" s="91"/>
    </row>
    <row r="150" spans="1:7" x14ac:dyDescent="0.25">
      <c r="A150" s="91"/>
      <c r="B150" s="91"/>
      <c r="C150" s="91"/>
      <c r="D150" s="91"/>
      <c r="E150" s="91"/>
      <c r="F150" s="91"/>
      <c r="G150" s="91"/>
    </row>
    <row r="151" spans="1:7" x14ac:dyDescent="0.25">
      <c r="A151" s="91"/>
      <c r="B151" s="91"/>
      <c r="C151" s="91"/>
      <c r="D151" s="91"/>
      <c r="E151" s="91"/>
      <c r="F151" s="91"/>
      <c r="G151" s="91"/>
    </row>
    <row r="152" spans="1:7" x14ac:dyDescent="0.25">
      <c r="A152" s="91"/>
      <c r="B152" s="91"/>
      <c r="C152" s="91"/>
      <c r="D152" s="91"/>
      <c r="E152" s="91"/>
      <c r="F152" s="91"/>
      <c r="G152" s="91"/>
    </row>
    <row r="153" spans="1:7" x14ac:dyDescent="0.25">
      <c r="A153" s="91"/>
      <c r="B153" s="91"/>
      <c r="C153" s="91"/>
      <c r="D153" s="91"/>
      <c r="E153" s="91"/>
      <c r="F153" s="91"/>
      <c r="G153" s="91"/>
    </row>
    <row r="154" spans="1:7" x14ac:dyDescent="0.25">
      <c r="A154" s="91"/>
      <c r="B154" s="91"/>
      <c r="C154" s="91"/>
      <c r="D154" s="91"/>
      <c r="E154" s="91"/>
      <c r="F154" s="91"/>
      <c r="G154" s="91"/>
    </row>
    <row r="155" spans="1:7" x14ac:dyDescent="0.25">
      <c r="A155" s="91"/>
      <c r="B155" s="91"/>
      <c r="C155" s="91"/>
      <c r="D155" s="91"/>
      <c r="E155" s="91"/>
      <c r="F155" s="91"/>
      <c r="G155" s="91"/>
    </row>
    <row r="156" spans="1:7" x14ac:dyDescent="0.25">
      <c r="A156" s="91"/>
      <c r="B156" s="91"/>
      <c r="C156" s="91"/>
      <c r="D156" s="91"/>
      <c r="E156" s="91"/>
      <c r="F156" s="91"/>
      <c r="G156" s="91"/>
    </row>
    <row r="157" spans="1:7" x14ac:dyDescent="0.25">
      <c r="A157" s="91"/>
      <c r="B157" s="91"/>
      <c r="C157" s="91"/>
      <c r="D157" s="91"/>
      <c r="E157" s="91"/>
      <c r="F157" s="91"/>
      <c r="G157" s="91"/>
    </row>
    <row r="158" spans="1:7" x14ac:dyDescent="0.25">
      <c r="A158" s="91"/>
      <c r="B158" s="91"/>
      <c r="C158" s="91"/>
      <c r="D158" s="91"/>
      <c r="E158" s="91"/>
      <c r="F158" s="91"/>
      <c r="G158" s="91"/>
    </row>
    <row r="159" spans="1:7" x14ac:dyDescent="0.25">
      <c r="A159" s="91"/>
      <c r="B159" s="91"/>
      <c r="C159" s="91"/>
      <c r="D159" s="91"/>
      <c r="E159" s="91"/>
      <c r="F159" s="91"/>
      <c r="G159" s="91"/>
    </row>
    <row r="160" spans="1:7" x14ac:dyDescent="0.25">
      <c r="A160" s="91"/>
      <c r="B160" s="91"/>
      <c r="C160" s="91"/>
      <c r="D160" s="91"/>
      <c r="E160" s="91"/>
      <c r="F160" s="91"/>
      <c r="G160" s="91"/>
    </row>
    <row r="161" spans="1:7" x14ac:dyDescent="0.25">
      <c r="A161" s="91"/>
      <c r="B161" s="91"/>
      <c r="C161" s="91"/>
      <c r="D161" s="91"/>
      <c r="E161" s="91"/>
      <c r="F161" s="91"/>
      <c r="G161" s="91"/>
    </row>
    <row r="162" spans="1:7" x14ac:dyDescent="0.25">
      <c r="A162" s="91"/>
      <c r="B162" s="91"/>
      <c r="C162" s="91"/>
      <c r="D162" s="91"/>
      <c r="E162" s="91"/>
      <c r="F162" s="91"/>
      <c r="G162" s="9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55664-4418-43F5-B6B7-064F424EAE01}">
  <dimension ref="B1:F13"/>
  <sheetViews>
    <sheetView showGridLines="0" workbookViewId="0">
      <selection activeCell="B16" sqref="B16"/>
    </sheetView>
  </sheetViews>
  <sheetFormatPr baseColWidth="10" defaultRowHeight="13.2" x14ac:dyDescent="0.25"/>
  <cols>
    <col min="1" max="1" width="1.109375" customWidth="1"/>
    <col min="2" max="2" width="64.44140625" customWidth="1"/>
    <col min="3" max="3" width="1.5546875" customWidth="1"/>
    <col min="4" max="4" width="5.5546875" customWidth="1"/>
    <col min="5" max="6" width="16" customWidth="1"/>
  </cols>
  <sheetData>
    <row r="1" spans="2:6" x14ac:dyDescent="0.25">
      <c r="B1" s="33" t="s">
        <v>21</v>
      </c>
      <c r="C1" s="33"/>
      <c r="D1" s="41"/>
      <c r="E1" s="41"/>
      <c r="F1" s="41"/>
    </row>
    <row r="2" spans="2:6" x14ac:dyDescent="0.25">
      <c r="B2" s="33" t="s">
        <v>22</v>
      </c>
      <c r="C2" s="33"/>
      <c r="D2" s="41"/>
      <c r="E2" s="41"/>
      <c r="F2" s="41"/>
    </row>
    <row r="3" spans="2:6" x14ac:dyDescent="0.25">
      <c r="B3" s="34"/>
      <c r="C3" s="34"/>
      <c r="D3" s="42"/>
      <c r="E3" s="42"/>
      <c r="F3" s="42"/>
    </row>
    <row r="4" spans="2:6" ht="52.8" x14ac:dyDescent="0.25">
      <c r="B4" s="34" t="s">
        <v>23</v>
      </c>
      <c r="C4" s="34"/>
      <c r="D4" s="42"/>
      <c r="E4" s="42"/>
      <c r="F4" s="42"/>
    </row>
    <row r="5" spans="2:6" x14ac:dyDescent="0.25">
      <c r="B5" s="34"/>
      <c r="C5" s="34"/>
      <c r="D5" s="42"/>
      <c r="E5" s="42"/>
      <c r="F5" s="42"/>
    </row>
    <row r="6" spans="2:6" ht="26.4" x14ac:dyDescent="0.25">
      <c r="B6" s="33" t="s">
        <v>24</v>
      </c>
      <c r="C6" s="33"/>
      <c r="D6" s="41"/>
      <c r="E6" s="41" t="s">
        <v>25</v>
      </c>
      <c r="F6" s="41" t="s">
        <v>26</v>
      </c>
    </row>
    <row r="7" spans="2:6" ht="13.8" thickBot="1" x14ac:dyDescent="0.3">
      <c r="B7" s="34"/>
      <c r="C7" s="34"/>
      <c r="D7" s="42"/>
      <c r="E7" s="42"/>
      <c r="F7" s="42"/>
    </row>
    <row r="8" spans="2:6" ht="39.6" x14ac:dyDescent="0.25">
      <c r="B8" s="35" t="s">
        <v>27</v>
      </c>
      <c r="C8" s="36"/>
      <c r="D8" s="43"/>
      <c r="E8" s="43">
        <v>1</v>
      </c>
      <c r="F8" s="44"/>
    </row>
    <row r="9" spans="2:6" ht="13.8" thickBot="1" x14ac:dyDescent="0.3">
      <c r="B9" s="37"/>
      <c r="C9" s="38"/>
      <c r="D9" s="45"/>
      <c r="E9" s="46" t="s">
        <v>28</v>
      </c>
      <c r="F9" s="47" t="s">
        <v>29</v>
      </c>
    </row>
    <row r="10" spans="2:6" ht="13.8" thickBot="1" x14ac:dyDescent="0.3">
      <c r="B10" s="34"/>
      <c r="C10" s="34"/>
      <c r="D10" s="42"/>
      <c r="E10" s="42"/>
      <c r="F10" s="42"/>
    </row>
    <row r="11" spans="2:6" ht="40.200000000000003" thickBot="1" x14ac:dyDescent="0.3">
      <c r="B11" s="39" t="s">
        <v>30</v>
      </c>
      <c r="C11" s="40"/>
      <c r="D11" s="48"/>
      <c r="E11" s="48">
        <v>49</v>
      </c>
      <c r="F11" s="49" t="s">
        <v>29</v>
      </c>
    </row>
    <row r="12" spans="2:6" x14ac:dyDescent="0.25">
      <c r="B12" s="34"/>
      <c r="C12" s="34"/>
      <c r="D12" s="42"/>
      <c r="E12" s="42"/>
      <c r="F12" s="42"/>
    </row>
    <row r="13" spans="2:6" x14ac:dyDescent="0.25">
      <c r="B13" s="34"/>
      <c r="C13" s="34"/>
      <c r="D13" s="42"/>
      <c r="E13" s="42"/>
      <c r="F13" s="42"/>
    </row>
  </sheetData>
  <hyperlinks>
    <hyperlink ref="E9" location="'la cava'!A6:C96" display="'la cava'!A6:C96" xr:uid="{ECA4A29E-AEB8-4C01-B0B3-16A060FC240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379A4-5A90-46FE-8969-2A1E853E3032}">
  <dimension ref="B1:F13"/>
  <sheetViews>
    <sheetView showGridLines="0" workbookViewId="0"/>
  </sheetViews>
  <sheetFormatPr baseColWidth="10" defaultRowHeight="13.2" x14ac:dyDescent="0.25"/>
  <cols>
    <col min="1" max="1" width="1.109375" customWidth="1"/>
    <col min="2" max="2" width="64.44140625" customWidth="1"/>
    <col min="3" max="3" width="1.5546875" customWidth="1"/>
    <col min="4" max="4" width="5.5546875" customWidth="1"/>
    <col min="5" max="6" width="16" customWidth="1"/>
  </cols>
  <sheetData>
    <row r="1" spans="2:6" x14ac:dyDescent="0.25">
      <c r="B1" s="33" t="s">
        <v>21</v>
      </c>
      <c r="C1" s="33"/>
      <c r="D1" s="41"/>
      <c r="E1" s="41"/>
      <c r="F1" s="41"/>
    </row>
    <row r="2" spans="2:6" x14ac:dyDescent="0.25">
      <c r="B2" s="33" t="s">
        <v>22</v>
      </c>
      <c r="C2" s="33"/>
      <c r="D2" s="41"/>
      <c r="E2" s="41"/>
      <c r="F2" s="41"/>
    </row>
    <row r="3" spans="2:6" x14ac:dyDescent="0.25">
      <c r="B3" s="34"/>
      <c r="C3" s="34"/>
      <c r="D3" s="42"/>
      <c r="E3" s="42"/>
      <c r="F3" s="42"/>
    </row>
    <row r="4" spans="2:6" ht="52.8" x14ac:dyDescent="0.25">
      <c r="B4" s="34" t="s">
        <v>23</v>
      </c>
      <c r="C4" s="34"/>
      <c r="D4" s="42"/>
      <c r="E4" s="42"/>
      <c r="F4" s="42"/>
    </row>
    <row r="5" spans="2:6" x14ac:dyDescent="0.25">
      <c r="B5" s="34"/>
      <c r="C5" s="34"/>
      <c r="D5" s="42"/>
      <c r="E5" s="42"/>
      <c r="F5" s="42"/>
    </row>
    <row r="6" spans="2:6" ht="26.4" x14ac:dyDescent="0.25">
      <c r="B6" s="33" t="s">
        <v>24</v>
      </c>
      <c r="C6" s="33"/>
      <c r="D6" s="41"/>
      <c r="E6" s="41" t="s">
        <v>25</v>
      </c>
      <c r="F6" s="41" t="s">
        <v>26</v>
      </c>
    </row>
    <row r="7" spans="2:6" ht="13.8" thickBot="1" x14ac:dyDescent="0.3">
      <c r="B7" s="34"/>
      <c r="C7" s="34"/>
      <c r="D7" s="42"/>
      <c r="E7" s="42"/>
      <c r="F7" s="42"/>
    </row>
    <row r="8" spans="2:6" ht="39.6" x14ac:dyDescent="0.25">
      <c r="B8" s="35" t="s">
        <v>27</v>
      </c>
      <c r="C8" s="36"/>
      <c r="D8" s="43"/>
      <c r="E8" s="43">
        <v>1</v>
      </c>
      <c r="F8" s="44"/>
    </row>
    <row r="9" spans="2:6" ht="13.8" thickBot="1" x14ac:dyDescent="0.3">
      <c r="B9" s="37"/>
      <c r="C9" s="38"/>
      <c r="D9" s="45"/>
      <c r="E9" s="46" t="s">
        <v>28</v>
      </c>
      <c r="F9" s="47" t="s">
        <v>29</v>
      </c>
    </row>
    <row r="10" spans="2:6" ht="13.8" thickBot="1" x14ac:dyDescent="0.3">
      <c r="B10" s="34"/>
      <c r="C10" s="34"/>
      <c r="D10" s="42"/>
      <c r="E10" s="42"/>
      <c r="F10" s="42"/>
    </row>
    <row r="11" spans="2:6" ht="40.200000000000003" thickBot="1" x14ac:dyDescent="0.3">
      <c r="B11" s="39" t="s">
        <v>30</v>
      </c>
      <c r="C11" s="40"/>
      <c r="D11" s="48"/>
      <c r="E11" s="48">
        <v>49</v>
      </c>
      <c r="F11" s="49" t="s">
        <v>29</v>
      </c>
    </row>
    <row r="12" spans="2:6" x14ac:dyDescent="0.25">
      <c r="B12" s="34"/>
      <c r="C12" s="34"/>
      <c r="D12" s="42"/>
      <c r="E12" s="42"/>
      <c r="F12" s="42"/>
    </row>
    <row r="13" spans="2:6" x14ac:dyDescent="0.25">
      <c r="B13" s="34"/>
      <c r="C13" s="34"/>
      <c r="D13" s="42"/>
      <c r="E13" s="42"/>
      <c r="F13" s="42"/>
    </row>
  </sheetData>
  <hyperlinks>
    <hyperlink ref="E9" location="'la cava'!A6:C96" display="'la cava'!A6:C96" xr:uid="{379AFB49-6693-4DDE-AC9D-4338211F558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3</vt:i4>
      </vt:variant>
    </vt:vector>
  </HeadingPairs>
  <TitlesOfParts>
    <vt:vector size="13" baseType="lpstr">
      <vt:lpstr>Precios costo 2025 Zuma</vt:lpstr>
      <vt:lpstr>Precio costo Vasa</vt:lpstr>
      <vt:lpstr>Deudas</vt:lpstr>
      <vt:lpstr>Venta por Cliente</vt:lpstr>
      <vt:lpstr>Venta x producto</vt:lpstr>
      <vt:lpstr>Inventario</vt:lpstr>
      <vt:lpstr>lista whatsapp</vt:lpstr>
      <vt:lpstr>Pedidos</vt:lpstr>
      <vt:lpstr>Informe de compatibilidad</vt:lpstr>
      <vt:lpstr>Informe de compatibilidad (1)</vt:lpstr>
      <vt:lpstr>Inventario!Área_de_impresión</vt:lpstr>
      <vt:lpstr>'lista whatsapp'!Área_de_impresión</vt:lpstr>
      <vt:lpstr>'Precios costo 2025 Zuma'!Área_de_impresión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dc:creator>
  <cp:lastModifiedBy>Alejandro Javier Baudracco</cp:lastModifiedBy>
  <cp:lastPrinted>2026-10-02T02:45:03Z</cp:lastPrinted>
  <dcterms:created xsi:type="dcterms:W3CDTF">2009-01-12T15:32:29Z</dcterms:created>
  <dcterms:modified xsi:type="dcterms:W3CDTF">2026-10-08T01:25:25Z</dcterms:modified>
  <cp:contentStatus/>
</cp:coreProperties>
</file>